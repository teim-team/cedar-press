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grams" sheetId="1" state="visible" r:id="rId3"/>
    <sheet name="Nation Coverage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<sst xmlns="http://schemas.openxmlformats.org/spreadsheetml/2006/main" count="5625" uniqueCount="2320">
  <si>
    <t xml:space="preserve">source_id</t>
  </si>
  <si>
    <t xml:space="preserve">nation_or_program</t>
  </si>
  <si>
    <t xml:space="preserve">state</t>
  </si>
  <si>
    <t xml:space="preserve">scope</t>
  </si>
  <si>
    <t xml:space="preserve">list_name</t>
  </si>
  <si>
    <t xml:space="preserve">list_type</t>
  </si>
  <si>
    <t xml:space="preserve">priority_class</t>
  </si>
  <si>
    <t xml:space="preserve">processing_status</t>
  </si>
  <si>
    <t xml:space="preserve">acquisition_mode</t>
  </si>
  <si>
    <t xml:space="preserve">format</t>
  </si>
  <si>
    <t xml:space="preserve">scrape_grade</t>
  </si>
  <si>
    <t xml:space="preserve">automation_score</t>
  </si>
  <si>
    <t xml:space="preserve">refresh_cadence</t>
  </si>
  <si>
    <t xml:space="preserve">approx_records</t>
  </si>
  <si>
    <t xml:space="preserve">authority</t>
  </si>
  <si>
    <t xml:space="preserve">rule_confidence</t>
  </si>
  <si>
    <t xml:space="preserve">directory_url</t>
  </si>
  <si>
    <t xml:space="preserve">last_checked</t>
  </si>
  <si>
    <t xml:space="preserve">TBD-165</t>
  </si>
  <si>
    <t xml:space="preserve">Alaska Native Village Corporation Association</t>
  </si>
  <si>
    <t xml:space="preserve">AK</t>
  </si>
  <si>
    <t xml:space="preserve">regional</t>
  </si>
  <si>
    <t xml:space="preserve">ANVCA Member Village Corporations</t>
  </si>
  <si>
    <t xml:space="preserve">ANC association membership</t>
  </si>
  <si>
    <t xml:space="preserve">Coverage Frame</t>
  </si>
  <si>
    <t xml:space="preserve">Complementary</t>
  </si>
  <si>
    <t xml:space="preserve">Crawl membership page for entity enumeration</t>
  </si>
  <si>
    <t xml:space="preserve">HTML</t>
  </si>
  <si>
    <t xml:space="preserve">C</t>
  </si>
  <si>
    <t xml:space="preserve">Quarterly</t>
  </si>
  <si>
    <t xml:space="preserve">High</t>
  </si>
  <si>
    <t xml:space="preserve">https://anvca.biz/</t>
  </si>
  <si>
    <t xml:space="preserve">2026-08-27</t>
  </si>
  <si>
    <t xml:space="preserve">TBD-164</t>
  </si>
  <si>
    <t xml:space="preserve">Oklahoma Department of Commerce</t>
  </si>
  <si>
    <t xml:space="preserve">OK</t>
  </si>
  <si>
    <t xml:space="preserve">Minority Business Certification Programs: Oklahoma TERO Program Enumeration</t>
  </si>
  <si>
    <t xml:space="preserve">State TERO coverage index</t>
  </si>
  <si>
    <t xml:space="preserve">Periodic PDF pull for program enumeration</t>
  </si>
  <si>
    <t xml:space="preserve">PDF</t>
  </si>
  <si>
    <t xml:space="preserve">https://www.okcommerce.gov/wp-content/uploads/Minority-Business-Certification-Programs.pdf</t>
  </si>
  <si>
    <t xml:space="preserve">TBD-163</t>
  </si>
  <si>
    <t xml:space="preserve">Council for Tribal Employment Rights</t>
  </si>
  <si>
    <t xml:space="preserve">US</t>
  </si>
  <si>
    <t xml:space="preserve">national</t>
  </si>
  <si>
    <t xml:space="preserve">CTER National TERO Program Coverage Frame</t>
  </si>
  <si>
    <t xml:space="preserve">National TERO umbrella organization</t>
  </si>
  <si>
    <t xml:space="preserve">Crawl for TERO program enumeration and hosted documents</t>
  </si>
  <si>
    <t xml:space="preserve">HTML plus hosted PDFs</t>
  </si>
  <si>
    <t xml:space="preserve">https://cter-tero.org/</t>
  </si>
  <si>
    <t xml:space="preserve">TBD-162</t>
  </si>
  <si>
    <t xml:space="preserve">Washington Office of Minority and Women’s Business Enterprises</t>
  </si>
  <si>
    <t xml:space="preserve">WA</t>
  </si>
  <si>
    <t xml:space="preserve">OMWBE Certified Businesses Directory: Native American Categories</t>
  </si>
  <si>
    <t xml:space="preserve">State certified-vendor directory</t>
  </si>
  <si>
    <t xml:space="preserve">Cross-Reference</t>
  </si>
  <si>
    <t xml:space="preserve">Directory query filtered to Native categories; monthly XLSX deltas</t>
  </si>
  <si>
    <t xml:space="preserve">Dynamic ASP directory plus monthly XLSX</t>
  </si>
  <si>
    <t xml:space="preserve">B</t>
  </si>
  <si>
    <t xml:space="preserve">Monthly</t>
  </si>
  <si>
    <t xml:space="preserve">Washington State Office of Minority and Women’s Business Enterprises</t>
  </si>
  <si>
    <t xml:space="preserve">https://omwbe.diversitycompliance.com/FrontEnd/SearchCertifiedDirectory.asp</t>
  </si>
  <si>
    <t xml:space="preserve">TBD-144</t>
  </si>
  <si>
    <t xml:space="preserve">South Dakota Department of Transportation</t>
  </si>
  <si>
    <t xml:space="preserve">SD</t>
  </si>
  <si>
    <t xml:space="preserve">South Dakota Tribal TERO Compliance Resource Index</t>
  </si>
  <si>
    <t xml:space="preserve">Coverage frame</t>
  </si>
  <si>
    <t xml:space="preserve">Landing-page and link-index scrape</t>
  </si>
  <si>
    <t xml:space="preserve">HTML plus linked PDFs</t>
  </si>
  <si>
    <t xml:space="preserve">A</t>
  </si>
  <si>
    <t xml:space="preserve">https://dot.sd.gov/programs-services/civil-rights/tribal-relations-tero/</t>
  </si>
  <si>
    <t xml:space="preserve">TBD-143</t>
  </si>
  <si>
    <t xml:space="preserve">Minnesota Department of Transportation</t>
  </si>
  <si>
    <t xml:space="preserve">MN</t>
  </si>
  <si>
    <t xml:space="preserve">Minnesota Tribal Employment Rights Office Coverage Frame</t>
  </si>
  <si>
    <t xml:space="preserve">Structured reference scrape</t>
  </si>
  <si>
    <t xml:space="preserve">11 tribal contacts</t>
  </si>
  <si>
    <t xml:space="preserve">https://www.dot.state.mn.us/civilrights/tribal-employment-rights-offices.html</t>
  </si>
  <si>
    <t xml:space="preserve">TBD-072</t>
  </si>
  <si>
    <t xml:space="preserve">Bureau of Indian Affairs</t>
  </si>
  <si>
    <t xml:space="preserve">National</t>
  </si>
  <si>
    <t xml:space="preserve">Tribal Leaders Directory</t>
  </si>
  <si>
    <t xml:space="preserve">Direct download</t>
  </si>
  <si>
    <t xml:space="preserve">HTML plus CSV/XLSX</t>
  </si>
  <si>
    <t xml:space="preserve">A+</t>
  </si>
  <si>
    <t xml:space="preserve">575 tribes (2026 listing)</t>
  </si>
  <si>
    <t xml:space="preserve">U.S. Bureau of Indian Affairs</t>
  </si>
  <si>
    <t xml:space="preserve">https://www.bia.gov/service/tribal-leaders-directory</t>
  </si>
  <si>
    <t xml:space="preserve">TBD-152</t>
  </si>
  <si>
    <t xml:space="preserve">American Indian Chamber of Commerce of Arizona</t>
  </si>
  <si>
    <t xml:space="preserve">AZ</t>
  </si>
  <si>
    <t xml:space="preserve">AICCAZ Members Directory</t>
  </si>
  <si>
    <t xml:space="preserve">Regional chamber directory</t>
  </si>
  <si>
    <t xml:space="preserve">Browser-assisted crawl or embedded endpoint discovery</t>
  </si>
  <si>
    <t xml:space="preserve">Dynamic MembershipWorks directory</t>
  </si>
  <si>
    <t xml:space="preserve">https://www.aiccaz.com/members-directory-page</t>
  </si>
  <si>
    <t xml:space="preserve">TBD-148</t>
  </si>
  <si>
    <t xml:space="preserve">Minnesota Indigenous Business Alliance</t>
  </si>
  <si>
    <t xml:space="preserve">Buy Native Biz Directory</t>
  </si>
  <si>
    <t xml:space="preserve">Regional and national Native-business directory</t>
  </si>
  <si>
    <t xml:space="preserve">Endpoint discovery or browser-assisted crawl</t>
  </si>
  <si>
    <t xml:space="preserve">Dynamic web directory</t>
  </si>
  <si>
    <t xml:space="preserve">Medium</t>
  </si>
  <si>
    <t xml:space="preserve">https://directory.mniba.org/</t>
  </si>
  <si>
    <t xml:space="preserve">TBD-017</t>
  </si>
  <si>
    <t xml:space="preserve">Sault Tribe Business Alliance</t>
  </si>
  <si>
    <t xml:space="preserve">MI</t>
  </si>
  <si>
    <t xml:space="preserve">single_nation</t>
  </si>
  <si>
    <t xml:space="preserve">Business Directory</t>
  </si>
  <si>
    <t xml:space="preserve">Cross-tribal directory</t>
  </si>
  <si>
    <t xml:space="preserve">Dynamic DOM scrape</t>
  </si>
  <si>
    <t xml:space="preserve">Tribal-affiliated nonprofit/chamber</t>
  </si>
  <si>
    <t xml:space="preserve">https://www.stballiance.org/directory</t>
  </si>
  <si>
    <t xml:space="preserve">TBD-155</t>
  </si>
  <si>
    <t xml:space="preserve">Montana Department of Commerce</t>
  </si>
  <si>
    <t xml:space="preserve">MT</t>
  </si>
  <si>
    <t xml:space="preserve">Native American Made in Montana Product Directory</t>
  </si>
  <si>
    <t xml:space="preserve">State product and producer directory</t>
  </si>
  <si>
    <t xml:space="preserve">Filter-aware directory scrape</t>
  </si>
  <si>
    <t xml:space="preserve">Searchable state directory</t>
  </si>
  <si>
    <t xml:space="preserve">https://commerce.mt.gov/Business/Programs-and-Services/Made-in-Montana/Products</t>
  </si>
  <si>
    <t xml:space="preserve">TBD-154</t>
  </si>
  <si>
    <t xml:space="preserve">Rocky Mountain Indian Chamber of Commerce</t>
  </si>
  <si>
    <t xml:space="preserve">CO / Rocky Mountain</t>
  </si>
  <si>
    <t xml:space="preserve">RMICC Member List</t>
  </si>
  <si>
    <t xml:space="preserve">DOM scrape</t>
  </si>
  <si>
    <t xml:space="preserve">HTML member/sponsor list</t>
  </si>
  <si>
    <t xml:space="preserve">https://rmicc.org/</t>
  </si>
  <si>
    <t xml:space="preserve">TBD-153</t>
  </si>
  <si>
    <t xml:space="preserve">American Indian Chamber of Commerce of Oklahoma</t>
  </si>
  <si>
    <t xml:space="preserve">AICCO Member Directory</t>
  </si>
  <si>
    <t xml:space="preserve">Statewide chamber directory</t>
  </si>
  <si>
    <t xml:space="preserve">Pagination/API discovery</t>
  </si>
  <si>
    <t xml:space="preserve">GrowthZone directory</t>
  </si>
  <si>
    <t xml:space="preserve">https://business.aiccok.org/directory</t>
  </si>
  <si>
    <t xml:space="preserve">TBD-151</t>
  </si>
  <si>
    <t xml:space="preserve">Northwest Native Chamber</t>
  </si>
  <si>
    <t xml:space="preserve">OR / WA / Northwest</t>
  </si>
  <si>
    <t xml:space="preserve">Native Member Directory</t>
  </si>
  <si>
    <t xml:space="preserve">Regional Native-member directory</t>
  </si>
  <si>
    <t xml:space="preserve">Endpoint discovery plus profile crawl</t>
  </si>
  <si>
    <t xml:space="preserve">Dynamic map and profile pages</t>
  </si>
  <si>
    <t xml:space="preserve">https://nwnc.org/native-member-directory/</t>
  </si>
  <si>
    <t xml:space="preserve">TBD-147</t>
  </si>
  <si>
    <t xml:space="preserve">Native American Community Development Institute</t>
  </si>
  <si>
    <t xml:space="preserve">NACDI Indigenous Resource Directory</t>
  </si>
  <si>
    <t xml:space="preserve">Regional resource and business directory</t>
  </si>
  <si>
    <t xml:space="preserve">Filter-aware DOM scrape</t>
  </si>
  <si>
    <t xml:space="preserve">Filterable HTML directory</t>
  </si>
  <si>
    <t xml:space="preserve">https://nacdi.org/directory/</t>
  </si>
  <si>
    <t xml:space="preserve">TBD-146</t>
  </si>
  <si>
    <t xml:space="preserve">Minnesota American Indian Chamber of Commerce</t>
  </si>
  <si>
    <t xml:space="preserve">MAICC Member Directory</t>
  </si>
  <si>
    <t xml:space="preserve">DOM scrape or directory endpoint discovery</t>
  </si>
  <si>
    <t xml:space="preserve">Dynamic member directory</t>
  </si>
  <si>
    <t xml:space="preserve">https://maicc.org/directory/</t>
  </si>
  <si>
    <t xml:space="preserve">TBD-071</t>
  </si>
  <si>
    <t xml:space="preserve">Washington Native American Chamber of Commerce</t>
  </si>
  <si>
    <t xml:space="preserve">Member Business Directory</t>
  </si>
  <si>
    <t xml:space="preserve">Directory scrape after endpoint verification</t>
  </si>
  <si>
    <t xml:space="preserve">Web directory / membership site</t>
  </si>
  <si>
    <t xml:space="preserve">Native chamber of commerce</t>
  </si>
  <si>
    <t xml:space="preserve">https://www.wnacc.org/</t>
  </si>
  <si>
    <t xml:space="preserve">TBD-069</t>
  </si>
  <si>
    <t xml:space="preserve">American Indigenous Business Leaders</t>
  </si>
  <si>
    <t xml:space="preserve">DOM scrape/API discovery</t>
  </si>
  <si>
    <t xml:space="preserve">Web directory</t>
  </si>
  <si>
    <t xml:space="preserve">Native nonprofit</t>
  </si>
  <si>
    <t xml:space="preserve">https://aibl.org/business-directory/</t>
  </si>
  <si>
    <t xml:space="preserve">TBD-067</t>
  </si>
  <si>
    <t xml:space="preserve">Washington Native Business Center</t>
  </si>
  <si>
    <t xml:space="preserve">Native Business Directory</t>
  </si>
  <si>
    <t xml:space="preserve">Native business-support organization</t>
  </si>
  <si>
    <t xml:space="preserve">https://nativebusinesscenter.com/business-directory/</t>
  </si>
  <si>
    <t xml:space="preserve">TBD-066</t>
  </si>
  <si>
    <t xml:space="preserve">Bureau of Indian Affairs / Buy Indian</t>
  </si>
  <si>
    <t xml:space="preserve">Buy Indian Native Vendor Resources / SAM Vendors</t>
  </si>
  <si>
    <t xml:space="preserve">API/data join</t>
  </si>
  <si>
    <t xml:space="preserve">HTML plus external procurement systems</t>
  </si>
  <si>
    <t xml:space="preserve">U.S. Department of the Interior / BIA</t>
  </si>
  <si>
    <t xml:space="preserve">https://www.bia.gov/as-ia/ocfo/buy-indian-act-info</t>
  </si>
  <si>
    <t xml:space="preserve">TBD-065</t>
  </si>
  <si>
    <t xml:space="preserve">Minneapolis Fed / Center for Indian Country Development</t>
  </si>
  <si>
    <t xml:space="preserve">Native Entity Enterprise Dataset (NEED)</t>
  </si>
  <si>
    <t xml:space="preserve">Government-owned enterprise dataset</t>
  </si>
  <si>
    <t xml:space="preserve">Download or request dataset</t>
  </si>
  <si>
    <t xml:space="preserve">Dataset / research page</t>
  </si>
  <si>
    <t xml:space="preserve">Annual</t>
  </si>
  <si>
    <t xml:space="preserve">5,559 establishments / 344 tribes</t>
  </si>
  <si>
    <t xml:space="preserve">Federal Reserve Bank of Minneapolis</t>
  </si>
  <si>
    <t xml:space="preserve">https://www.minneapolisfed.org/article/2025/new-data-showcase-the-breadth-of-tribally-owned-businesses</t>
  </si>
  <si>
    <t xml:space="preserve">TBD-156</t>
  </si>
  <si>
    <t xml:space="preserve">Colorado Department of Agriculture / Colorado Proud</t>
  </si>
  <si>
    <t xml:space="preserve">CO</t>
  </si>
  <si>
    <t xml:space="preserve">Native American-Owned Food and Agriculture Businesses</t>
  </si>
  <si>
    <t xml:space="preserve">State sector directory</t>
  </si>
  <si>
    <t xml:space="preserve">Static DOM scrape</t>
  </si>
  <si>
    <t xml:space="preserve">HTML profiles/list</t>
  </si>
  <si>
    <t xml:space="preserve">Colorado Department of Agriculture</t>
  </si>
  <si>
    <t xml:space="preserve">https://coloradoproud.com/nativeowned/</t>
  </si>
  <si>
    <t xml:space="preserve">TBD-150</t>
  </si>
  <si>
    <t xml:space="preserve">American Indian Chamber of Commerce of New Mexico</t>
  </si>
  <si>
    <t xml:space="preserve">NM</t>
  </si>
  <si>
    <t xml:space="preserve">AICCNM Member Directory</t>
  </si>
  <si>
    <t xml:space="preserve">Long-form HTML directory</t>
  </si>
  <si>
    <t xml:space="preserve">https://www.aiccnm.com/member-directory</t>
  </si>
  <si>
    <t xml:space="preserve">TBD-149</t>
  </si>
  <si>
    <t xml:space="preserve">Wisconsin &amp; Midwest Native Entrepreneurs Directory</t>
  </si>
  <si>
    <t xml:space="preserve">WI / Midwest</t>
  </si>
  <si>
    <t xml:space="preserve">Native Biz Directory</t>
  </si>
  <si>
    <t xml:space="preserve">Regional Native-owned business directory</t>
  </si>
  <si>
    <t xml:space="preserve">Static or category-aware DOM scrape</t>
  </si>
  <si>
    <t xml:space="preserve">HTML directory</t>
  </si>
  <si>
    <t xml:space="preserve">100+</t>
  </si>
  <si>
    <t xml:space="preserve">Wisconsin Indigenous economic-development initiative</t>
  </si>
  <si>
    <t xml:space="preserve">https://nativebizdirectory.com/index.html</t>
  </si>
  <si>
    <t xml:space="preserve">TBD-070</t>
  </si>
  <si>
    <t xml:space="preserve">First Peoples Fund</t>
  </si>
  <si>
    <t xml:space="preserve">Artist Directory</t>
  </si>
  <si>
    <t xml:space="preserve">Artist directory</t>
  </si>
  <si>
    <t xml:space="preserve">Directory scrape</t>
  </si>
  <si>
    <t xml:space="preserve">https://www.firstpeoplesfund.org/about/artists-directory</t>
  </si>
  <si>
    <t xml:space="preserve">TBD-068</t>
  </si>
  <si>
    <t xml:space="preserve">Texas Native Health</t>
  </si>
  <si>
    <t xml:space="preserve">TX</t>
  </si>
  <si>
    <t xml:space="preserve">Native-Owned Business Directory</t>
  </si>
  <si>
    <t xml:space="preserve">Static/dynamic DOM scrape</t>
  </si>
  <si>
    <t xml:space="preserve">https://texasnativehealth.org/native-owned-business-directory/</t>
  </si>
  <si>
    <t xml:space="preserve">TBD-064</t>
  </si>
  <si>
    <t xml:space="preserve">United South and Eastern Tribes</t>
  </si>
  <si>
    <t xml:space="preserve">Regional</t>
  </si>
  <si>
    <t xml:space="preserve">Tribal Enterprise Directory</t>
  </si>
  <si>
    <t xml:space="preserve">HTML / directory</t>
  </si>
  <si>
    <t xml:space="preserve">600+</t>
  </si>
  <si>
    <t xml:space="preserve">USET Sovereignty Protection Fund</t>
  </si>
  <si>
    <t xml:space="preserve">https://www.usetinc.org/departments/economic-development/tribal-enterprise-directory/</t>
  </si>
  <si>
    <t xml:space="preserve">TBD-063</t>
  </si>
  <si>
    <t xml:space="preserve">U.S. Indian Arts and Crafts Board</t>
  </si>
  <si>
    <t xml:space="preserve">Source Directory of American Indian and Alaska Native Owned and Operated Arts and Crafts Businesses</t>
  </si>
  <si>
    <t xml:space="preserve">Structured directory scrape</t>
  </si>
  <si>
    <t xml:space="preserve">500+</t>
  </si>
  <si>
    <t xml:space="preserve">U.S. Department of the Interior</t>
  </si>
  <si>
    <t xml:space="preserve">https://www.doi.gov/iacb/source-directory-arts-and-crafts-businesses</t>
  </si>
  <si>
    <t xml:space="preserve">TBD-145</t>
  </si>
  <si>
    <t xml:space="preserve">Minnesota Office of State Procurement</t>
  </si>
  <si>
    <t xml:space="preserve">TG/ED/VO Certified Vendor Directory: Indigenous American Category</t>
  </si>
  <si>
    <t xml:space="preserve">Direct CSV download filtered to category I</t>
  </si>
  <si>
    <t xml:space="preserve">Searchable HTML plus CSV</t>
  </si>
  <si>
    <t xml:space="preserve">State of Minnesota Department of Administration</t>
  </si>
  <si>
    <t xml:space="preserve">https://mn.gov/admin/osp/about-us/state-government/procuregoodsandgeneralservices/tgedvo-directory/</t>
  </si>
  <si>
    <t xml:space="preserve">TBD-028</t>
  </si>
  <si>
    <t xml:space="preserve">Keweenaw Bay Indian Community</t>
  </si>
  <si>
    <t xml:space="preserve">Tribal Member-Owned Business Directory</t>
  </si>
  <si>
    <t xml:space="preserve">Member-owned directory</t>
  </si>
  <si>
    <t xml:space="preserve">Tribal Secondary</t>
  </si>
  <si>
    <t xml:space="preserve">Historical</t>
  </si>
  <si>
    <t xml:space="preserve">Historical archive parse; contact program</t>
  </si>
  <si>
    <t xml:space="preserve">PDF newsletter</t>
  </si>
  <si>
    <t xml:space="preserve">D</t>
  </si>
  <si>
    <t xml:space="preserve">Official tribal newsletter</t>
  </si>
  <si>
    <t xml:space="preserve">https://www.kbic-nsn.gov/wp-content/uploads/2025/03/September2004.pdf</t>
  </si>
  <si>
    <t xml:space="preserve">2026-08-28</t>
  </si>
  <si>
    <t xml:space="preserve">TBD-027</t>
  </si>
  <si>
    <t xml:space="preserve">Catawba Nation</t>
  </si>
  <si>
    <t xml:space="preserve">SC</t>
  </si>
  <si>
    <t xml:space="preserve">Tribal Member Owned Businesses Directory</t>
  </si>
  <si>
    <t xml:space="preserve">Monitor/search; contact economic development</t>
  </si>
  <si>
    <t xml:space="preserve">Unknown</t>
  </si>
  <si>
    <t xml:space="preserve">Semiannual</t>
  </si>
  <si>
    <t xml:space="preserve">Historical official/state reference</t>
  </si>
  <si>
    <t xml:space="preserve">Low</t>
  </si>
  <si>
    <t xml:space="preserve">https://www.catawba.com/</t>
  </si>
  <si>
    <t xml:space="preserve">TBD-020</t>
  </si>
  <si>
    <t xml:space="preserve">Citizen Potawatomi Nation</t>
  </si>
  <si>
    <t xml:space="preserve">Tribal Member Businesses</t>
  </si>
  <si>
    <t xml:space="preserve">Image archive plus manual extraction</t>
  </si>
  <si>
    <t xml:space="preserve">Image / redirect</t>
  </si>
  <si>
    <t xml:space="preserve">Official tribal news</t>
  </si>
  <si>
    <t xml:space="preserve">https://cpn.news/business</t>
  </si>
  <si>
    <t xml:space="preserve">TBD-178</t>
  </si>
  <si>
    <t xml:space="preserve">Tanana Chiefs Conference (Interior Alaska regional consortium)</t>
  </si>
  <si>
    <t xml:space="preserve">TCC TERO Indian-owned vendor listing (42 member villages)</t>
  </si>
  <si>
    <t xml:space="preserve">Consortium TERO / certified procurement</t>
  </si>
  <si>
    <t xml:space="preserve">Tribal Partnership</t>
  </si>
  <si>
    <t xml:space="preserve">Lead</t>
  </si>
  <si>
    <t xml:space="preserve">Request directly from TCC TERO</t>
  </si>
  <si>
    <t xml:space="preserve">Program page; list not posted</t>
  </si>
  <si>
    <t xml:space="preserve">Tanana Chiefs Conference TERO</t>
  </si>
  <si>
    <t xml:space="preserve">https://www.tananachiefs.org/services/job-training/tero/</t>
  </si>
  <si>
    <t xml:space="preserve">TBD-167</t>
  </si>
  <si>
    <t xml:space="preserve">Nisqually Indian Tribe</t>
  </si>
  <si>
    <t xml:space="preserve">Nisqually NAOB Registry (TERO certified Native American Owned Businesses)</t>
  </si>
  <si>
    <t xml:space="preserve">TERO / certified procurement</t>
  </si>
  <si>
    <t xml:space="preserve">Request directly from TERO</t>
  </si>
  <si>
    <t xml:space="preserve">PDF references; list not posted</t>
  </si>
  <si>
    <t xml:space="preserve">Nisqually TERO</t>
  </si>
  <si>
    <t xml:space="preserve">http://www.nisqually-nsn.gov/files/4716/2388/4801/TERO_Orientation.pdf</t>
  </si>
  <si>
    <t xml:space="preserve">TBD-161</t>
  </si>
  <si>
    <t xml:space="preserve">American Indian Chamber of Commerce of California</t>
  </si>
  <si>
    <t xml:space="preserve">CA</t>
  </si>
  <si>
    <t xml:space="preserve">AICCCAL Member Businesses</t>
  </si>
  <si>
    <t xml:space="preserve">Confirm directory access, then crawl</t>
  </si>
  <si>
    <t xml:space="preserve">HTML organization site</t>
  </si>
  <si>
    <t xml:space="preserve">https://aicccal.org/</t>
  </si>
  <si>
    <t xml:space="preserve">TBD-121</t>
  </si>
  <si>
    <t xml:space="preserve">Squaxin Island Tribe</t>
  </si>
  <si>
    <t xml:space="preserve">Contractor Registry</t>
  </si>
  <si>
    <t xml:space="preserve">Mixed contractor registry</t>
  </si>
  <si>
    <t xml:space="preserve">Discovery Only</t>
  </si>
  <si>
    <t xml:space="preserve">Request export or monitor directory publication</t>
  </si>
  <si>
    <t xml:space="preserve">HTML plus online form</t>
  </si>
  <si>
    <t xml:space="preserve">Official Squaxin Island Tribe</t>
  </si>
  <si>
    <t xml:space="preserve">https://squaxinisland.org/contractor-registration/</t>
  </si>
  <si>
    <t xml:space="preserve">TBD-160</t>
  </si>
  <si>
    <t xml:space="preserve">Osage Nation</t>
  </si>
  <si>
    <t xml:space="preserve">Tax Commission Registered Vendor Records</t>
  </si>
  <si>
    <t xml:space="preserve">Tribal vendor registration</t>
  </si>
  <si>
    <t xml:space="preserve">Partnership request</t>
  </si>
  <si>
    <t xml:space="preserve">HTML plus PDF application packet</t>
  </si>
  <si>
    <t xml:space="preserve">Official Osage Nation</t>
  </si>
  <si>
    <t xml:space="preserve">https://www.osagenation-nsn.gov/business</t>
  </si>
  <si>
    <t xml:space="preserve">TBD-159</t>
  </si>
  <si>
    <t xml:space="preserve">Turtle Mountain Band of Chippewa Indians</t>
  </si>
  <si>
    <t xml:space="preserve">ND</t>
  </si>
  <si>
    <t xml:space="preserve">TERO Indian-Owned Business Certifications</t>
  </si>
  <si>
    <t xml:space="preserve">HTML tribal code</t>
  </si>
  <si>
    <t xml:space="preserve">Official Turtle Mountain Band tribal code</t>
  </si>
  <si>
    <t xml:space="preserve">https://www.narf.org/nill/triballaw/us/nsn/tmchippewa/council/code/32.02.010/</t>
  </si>
  <si>
    <t xml:space="preserve">TBD-158</t>
  </si>
  <si>
    <t xml:space="preserve">Pascua Yaqui Tribe</t>
  </si>
  <si>
    <t xml:space="preserve">TERO Indian Enterprise Qualification Records</t>
  </si>
  <si>
    <t xml:space="preserve">HTML plus PDF forms</t>
  </si>
  <si>
    <t xml:space="preserve">Official Pascua Yaqui Tribe TERO</t>
  </si>
  <si>
    <t xml:space="preserve">https://www.pascuayaqui-nsn.gov/development-services/tero/</t>
  </si>
  <si>
    <t xml:space="preserve">TBD-126</t>
  </si>
  <si>
    <t xml:space="preserve">Ahtna, Inc.</t>
  </si>
  <si>
    <t xml:space="preserve">Ahtna Shareholder Businesses</t>
  </si>
  <si>
    <t xml:space="preserve">Alaska Native corporation shareholder directory</t>
  </si>
  <si>
    <t xml:space="preserve">Request submission export or resolve listing component</t>
  </si>
  <si>
    <t xml:space="preserve">HTML plus form</t>
  </si>
  <si>
    <t xml:space="preserve">https://www.ahtna.com/shareholders/shareholder-businesses/</t>
  </si>
  <si>
    <t xml:space="preserve">TBD-157</t>
  </si>
  <si>
    <t xml:space="preserve">Gila River Indian Community</t>
  </si>
  <si>
    <t xml:space="preserve">TERO Contractor Compliance Registry</t>
  </si>
  <si>
    <t xml:space="preserve">HTML program page</t>
  </si>
  <si>
    <t xml:space="preserve">Official Gila River Indian Community TERO</t>
  </si>
  <si>
    <t xml:space="preserve">https://grictraining.org/index.php/tero</t>
  </si>
  <si>
    <t xml:space="preserve">TBD-138</t>
  </si>
  <si>
    <t xml:space="preserve">Quapaw Nation</t>
  </si>
  <si>
    <t xml:space="preserve">TERO Certified Indian-Owned Entity List</t>
  </si>
  <si>
    <t xml:space="preserve">Official plan document</t>
  </si>
  <si>
    <t xml:space="preserve">Official Quapaw Nation TERO implementation plan</t>
  </si>
  <si>
    <t xml:space="preserve">https://quapawtribe.com/DocumentCenter/View/11802</t>
  </si>
  <si>
    <t xml:space="preserve">TBD-137</t>
  </si>
  <si>
    <t xml:space="preserve">Ho-Chunk Nation</t>
  </si>
  <si>
    <t xml:space="preserve">WI</t>
  </si>
  <si>
    <t xml:space="preserve">Certified Ho-Chunk-Owned Vendor Registry</t>
  </si>
  <si>
    <t xml:space="preserve">Certified procurement</t>
  </si>
  <si>
    <t xml:space="preserve">Procurement PDFs</t>
  </si>
  <si>
    <t xml:space="preserve">Official Ho-Chunk Nation procurement</t>
  </si>
  <si>
    <t xml:space="preserve">https://ho-chunknation.com/wp-content/uploads/2024/09/Beloit-Commissioning-Agent-RFP.pdf</t>
  </si>
  <si>
    <t xml:space="preserve">TBD-136</t>
  </si>
  <si>
    <t xml:space="preserve">Saint Regis Mohawk Tribe</t>
  </si>
  <si>
    <t xml:space="preserve">NY</t>
  </si>
  <si>
    <t xml:space="preserve">Certified Native American Companies List</t>
  </si>
  <si>
    <t xml:space="preserve">Native preference / certified procurement</t>
  </si>
  <si>
    <t xml:space="preserve">Request current list from Compliance Department</t>
  </si>
  <si>
    <t xml:space="preserve">Policy PDF</t>
  </si>
  <si>
    <t xml:space="preserve">Official Saint Regis Mohawk Tribe Compliance Department</t>
  </si>
  <si>
    <t xml:space="preserve">https://craft-srmt.files.svdcdn.com/production/_uploads/2021-V003-Native-Preference-Policy.pdf?dm=1741104153</t>
  </si>
  <si>
    <t xml:space="preserve">TBD-135</t>
  </si>
  <si>
    <t xml:space="preserve">Prairie Island Indian Community</t>
  </si>
  <si>
    <t xml:space="preserve">TERO Native American Contractor Registry</t>
  </si>
  <si>
    <t xml:space="preserve">HTML plus procurement PDF</t>
  </si>
  <si>
    <t xml:space="preserve">Official Prairie Island Indian Community TERO</t>
  </si>
  <si>
    <t xml:space="preserve">https://prairieisland.org/tribal-employment-rights-office</t>
  </si>
  <si>
    <t xml:space="preserve">TBD-134</t>
  </si>
  <si>
    <t xml:space="preserve">Bois Forte Band of Chippewa</t>
  </si>
  <si>
    <t xml:space="preserve">Native Preference Contractor / Enterprise Registry</t>
  </si>
  <si>
    <t xml:space="preserve">HTML plus procurement PDFs</t>
  </si>
  <si>
    <t xml:space="preserve">Official Bois Forte Band TERO and procurement</t>
  </si>
  <si>
    <t xml:space="preserve">https://boisforte.com/resources/assistance-services/tribal-employment-rights-office/</t>
  </si>
  <si>
    <t xml:space="preserve">TBD-133</t>
  </si>
  <si>
    <t xml:space="preserve">Fond du Lac Band of Lake Superior Chippewa</t>
  </si>
  <si>
    <t xml:space="preserve">TERO Qualified Indian-Owned Business / Subcontractor List</t>
  </si>
  <si>
    <t xml:space="preserve">HTML plus forms</t>
  </si>
  <si>
    <t xml:space="preserve">Official Fond du Lac Band TERO</t>
  </si>
  <si>
    <t xml:space="preserve">https://www.fdlband.org/community/tero_program/for_contractors.php</t>
  </si>
  <si>
    <t xml:space="preserve">TBD-132</t>
  </si>
  <si>
    <t xml:space="preserve">Mille Lacs Band of Ojibwe</t>
  </si>
  <si>
    <t xml:space="preserve">TERO Native American Owned Business Certification Registry</t>
  </si>
  <si>
    <t xml:space="preserve">Partnership request; monitor certification page</t>
  </si>
  <si>
    <t xml:space="preserve">HTML plus fillable PDF</t>
  </si>
  <si>
    <t xml:space="preserve">Official Mille Lacs Band TERO</t>
  </si>
  <si>
    <t xml:space="preserve">https://millelacsband.com/government/departmentspublic/tero</t>
  </si>
  <si>
    <t xml:space="preserve">TBD-124</t>
  </si>
  <si>
    <t xml:space="preserve">Pueblo of Laguna</t>
  </si>
  <si>
    <t xml:space="preserve">Indian Preference Business Compliance Registry</t>
  </si>
  <si>
    <t xml:space="preserve">Partnership/request</t>
  </si>
  <si>
    <t xml:space="preserve">Official Pueblo of Laguna</t>
  </si>
  <si>
    <t xml:space="preserve">https://www.lagunapueblo-nsn.gov/departments/tax-administration/employment-compliance/</t>
  </si>
  <si>
    <t xml:space="preserve">TBD-123</t>
  </si>
  <si>
    <t xml:space="preserve">Colorado River Indian Tribes</t>
  </si>
  <si>
    <t xml:space="preserve">AZ/CA</t>
  </si>
  <si>
    <t xml:space="preserve">Prequalified Indian and Indian-Owned Enterprise Lists</t>
  </si>
  <si>
    <t xml:space="preserve">Procurement / preference registry</t>
  </si>
  <si>
    <t xml:space="preserve">Partnership/request and policy refresh verification</t>
  </si>
  <si>
    <t xml:space="preserve">Official policy PDF</t>
  </si>
  <si>
    <t xml:space="preserve">Official Colorado River Indian Tribes procurement policy</t>
  </si>
  <si>
    <t xml:space="preserve">https://crit-nsn.gov/</t>
  </si>
  <si>
    <t xml:space="preserve">TBD-122</t>
  </si>
  <si>
    <t xml:space="preserve">Central Council of the Tlingit and Haida Indian Tribes of Alaska</t>
  </si>
  <si>
    <t xml:space="preserve">Tlingit &amp; Haida Native-Owned Business Directory</t>
  </si>
  <si>
    <t xml:space="preserve">Member / Native-owned directory</t>
  </si>
  <si>
    <t xml:space="preserve">Monitor launch and request export</t>
  </si>
  <si>
    <t xml:space="preserve">Official website plus social intake announcement</t>
  </si>
  <si>
    <t xml:space="preserve">Official Tlingit &amp; Haida communications</t>
  </si>
  <si>
    <t xml:space="preserve">https://tlingitandhaida.gov/</t>
  </si>
  <si>
    <t xml:space="preserve">TBD-119</t>
  </si>
  <si>
    <t xml:space="preserve">San Carlos Apache Tribe</t>
  </si>
  <si>
    <t xml:space="preserve">TERO Local Indian Business / Contractor Registry</t>
  </si>
  <si>
    <t xml:space="preserve">Resolve official endpoint or request export</t>
  </si>
  <si>
    <t xml:space="preserve">HTML program page plus unresolved resource link</t>
  </si>
  <si>
    <t xml:space="preserve">Official San Carlos Apache Tribe TERO</t>
  </si>
  <si>
    <t xml:space="preserve">https://www.scat-nsn.gov/tero-2/</t>
  </si>
  <si>
    <t xml:space="preserve">TBD-118</t>
  </si>
  <si>
    <t xml:space="preserve">Pyramid Lake Paiute Tribe</t>
  </si>
  <si>
    <t xml:space="preserve">NV</t>
  </si>
  <si>
    <t xml:space="preserve">TERO Preference Business Register</t>
  </si>
  <si>
    <t xml:space="preserve">Official Pyramid Lake Paiute Tribe TERO</t>
  </si>
  <si>
    <t xml:space="preserve">https://plpt.nsn.us/tero/</t>
  </si>
  <si>
    <t xml:space="preserve">TBD-117</t>
  </si>
  <si>
    <t xml:space="preserve">Crow Tribe of Indians</t>
  </si>
  <si>
    <t xml:space="preserve">Crow TERO Approved Contractor List</t>
  </si>
  <si>
    <t xml:space="preserve">Request current official export</t>
  </si>
  <si>
    <t xml:space="preserve">Official program page plus procurement attachment/reference</t>
  </si>
  <si>
    <t xml:space="preserve">Crow Tribe TERO, corroborated by federal procurement notices</t>
  </si>
  <si>
    <t xml:space="preserve">https://www.crow-nsn.gov/tero.html</t>
  </si>
  <si>
    <t xml:space="preserve">TBD-116</t>
  </si>
  <si>
    <t xml:space="preserve">Omaha Tribe of Nebraska</t>
  </si>
  <si>
    <t xml:space="preserve">NE</t>
  </si>
  <si>
    <t xml:space="preserve">Native-Owned Business and Subcontractor Registry</t>
  </si>
  <si>
    <t xml:space="preserve">Official Omaha Tribe TERO</t>
  </si>
  <si>
    <t xml:space="preserve">https://www.omahatribe.com/tribe-departments/employment-rights-office/</t>
  </si>
  <si>
    <t xml:space="preserve">TBD-115</t>
  </si>
  <si>
    <t xml:space="preserve">Lumbee Tribe of North Carolina</t>
  </si>
  <si>
    <t xml:space="preserve">NC</t>
  </si>
  <si>
    <t xml:space="preserve">Lumbee Business Spotlight</t>
  </si>
  <si>
    <t xml:space="preserve">Member-business intake / spotlight</t>
  </si>
  <si>
    <t xml:space="preserve">Request form export or crawl published spotlights</t>
  </si>
  <si>
    <t xml:space="preserve">Dynamic HTML form</t>
  </si>
  <si>
    <t xml:space="preserve">Official Lumbee Tribe of North Carolina</t>
  </si>
  <si>
    <t xml:space="preserve">https://www.lumbeetribe.com/business-spotlight</t>
  </si>
  <si>
    <t xml:space="preserve">TBD-114</t>
  </si>
  <si>
    <t xml:space="preserve">Mashpee Wampanoag Tribe</t>
  </si>
  <si>
    <t xml:space="preserve">MA</t>
  </si>
  <si>
    <t xml:space="preserve">TERO Vendor Company Registry</t>
  </si>
  <si>
    <t xml:space="preserve">HTML plus application</t>
  </si>
  <si>
    <t xml:space="preserve">Official Mashpee Wampanoag Tribe TERO</t>
  </si>
  <si>
    <t xml:space="preserve">https://mashpeewampanoagtribe-nsn.gov/tero</t>
  </si>
  <si>
    <t xml:space="preserve">TBD-112</t>
  </si>
  <si>
    <t xml:space="preserve">Red Lake Nation</t>
  </si>
  <si>
    <t xml:space="preserve">Indian Preference Certified Firm List</t>
  </si>
  <si>
    <t xml:space="preserve">Official Red Lake Nation TERO</t>
  </si>
  <si>
    <t xml:space="preserve">https://rlntero.com/about-us</t>
  </si>
  <si>
    <t xml:space="preserve">TBD-109</t>
  </si>
  <si>
    <t xml:space="preserve">Swinomish Indian Tribal Community</t>
  </si>
  <si>
    <t xml:space="preserve">Indian-Owned Enterprise Register</t>
  </si>
  <si>
    <t xml:space="preserve">PDF/code</t>
  </si>
  <si>
    <t xml:space="preserve">Official Swinomish Tribal Code</t>
  </si>
  <si>
    <t xml:space="preserve">https://www.swinomish-nsn.gov/media/2086</t>
  </si>
  <si>
    <t xml:space="preserve">TBD-107</t>
  </si>
  <si>
    <t xml:space="preserve">Wichita and Affiliated Tribes</t>
  </si>
  <si>
    <t xml:space="preserve">Certified Vendor and Native Artist Lists</t>
  </si>
  <si>
    <t xml:space="preserve">Monitor launch and request structured exports</t>
  </si>
  <si>
    <t xml:space="preserve">Official Wichita and Affiliated Tribes TERO</t>
  </si>
  <si>
    <t xml:space="preserve">https://wichitatribe.com/tero/</t>
  </si>
  <si>
    <t xml:space="preserve">TBD-106</t>
  </si>
  <si>
    <t xml:space="preserve">Cheyenne and Arapaho Tribes</t>
  </si>
  <si>
    <t xml:space="preserve">TERO Certified Vendor List</t>
  </si>
  <si>
    <t xml:space="preserve">Official Cheyenne and Arapaho Tribes TERO</t>
  </si>
  <si>
    <t xml:space="preserve">https://www.cheyenneandarapaho-nsn.gov/labor/tero</t>
  </si>
  <si>
    <t xml:space="preserve">TBD-105</t>
  </si>
  <si>
    <t xml:space="preserve">Comanche Nation</t>
  </si>
  <si>
    <t xml:space="preserve">TERO Preferred Vendor List</t>
  </si>
  <si>
    <t xml:space="preserve">Partnership request and RFP monitoring</t>
  </si>
  <si>
    <t xml:space="preserve">HTML procurement page</t>
  </si>
  <si>
    <t xml:space="preserve">Official Comanche Nation procurement/TERO</t>
  </si>
  <si>
    <t xml:space="preserve">https://www.comanchenation.com/rfps</t>
  </si>
  <si>
    <t xml:space="preserve">TBD-104</t>
  </si>
  <si>
    <t xml:space="preserve">Kiowa Tribe</t>
  </si>
  <si>
    <t xml:space="preserve">Official Kiowa Tribe TERO</t>
  </si>
  <si>
    <t xml:space="preserve">https://www.kiowatribe.org/department/tribal-employment-rights-office</t>
  </si>
  <si>
    <t xml:space="preserve">TBD-103</t>
  </si>
  <si>
    <t xml:space="preserve">Seminole Nation of Oklahoma</t>
  </si>
  <si>
    <t xml:space="preserve">TERO Contractor and Artist Certification Rosters</t>
  </si>
  <si>
    <t xml:space="preserve">HTML plus online forms</t>
  </si>
  <si>
    <t xml:space="preserve">Official Seminole Nation TERO</t>
  </si>
  <si>
    <t xml:space="preserve">https://www.sno-nsn.org/getpage.php?name=Tribal_Employment_Rights_Office_-_APPLICATION_ONLINE</t>
  </si>
  <si>
    <t xml:space="preserve">TBD-102</t>
  </si>
  <si>
    <t xml:space="preserve">Chippewa Cree Tribe of the Rocky Boy’s Reservation</t>
  </si>
  <si>
    <t xml:space="preserve">Rocky Boy’s TERO Subcontractor List</t>
  </si>
  <si>
    <t xml:space="preserve">Official Chippewa Cree TERO</t>
  </si>
  <si>
    <t xml:space="preserve">https://cctero.com/documents/</t>
  </si>
  <si>
    <t xml:space="preserve">TBD-101</t>
  </si>
  <si>
    <t xml:space="preserve">Oglala Sioux Tribe</t>
  </si>
  <si>
    <t xml:space="preserve">TERO Certified Indian-Owned Firm List</t>
  </si>
  <si>
    <t xml:space="preserve">Partnership request and official-site verification</t>
  </si>
  <si>
    <t xml:space="preserve">HTML code</t>
  </si>
  <si>
    <t xml:space="preserve">Oglala Sioux TERO code repository</t>
  </si>
  <si>
    <t xml:space="preserve">https://narf.org/nill/codes/oglala_sioux/chapter18-tero.html</t>
  </si>
  <si>
    <t xml:space="preserve">TBD-100</t>
  </si>
  <si>
    <t xml:space="preserve">Klamath Tribes</t>
  </si>
  <si>
    <t xml:space="preserve">OR</t>
  </si>
  <si>
    <t xml:space="preserve">TERO Indian-Owned Business List</t>
  </si>
  <si>
    <t xml:space="preserve">Partnership request and site monitoring</t>
  </si>
  <si>
    <t xml:space="preserve">Fillable PDF application</t>
  </si>
  <si>
    <t xml:space="preserve">Official Klamath Tribes TERO</t>
  </si>
  <si>
    <t xml:space="preserve">https://klamathtribes.org/wp-content/uploads/2025/07/TERO-INDIAN-OWNED-BUSINESS-APPLICATION.pdf</t>
  </si>
  <si>
    <t xml:space="preserve">TBD-099</t>
  </si>
  <si>
    <t xml:space="preserve">Ute Mountain Ute Tribe</t>
  </si>
  <si>
    <t xml:space="preserve">TERO Indian-Owned Business Certification List</t>
  </si>
  <si>
    <t xml:space="preserve">Official Ute Mountain Ute Tribe TERO</t>
  </si>
  <si>
    <t xml:space="preserve">https://www.utemountainutetribe.com/tero.html</t>
  </si>
  <si>
    <t xml:space="preserve">TBD-098</t>
  </si>
  <si>
    <t xml:space="preserve">Karuk Tribe</t>
  </si>
  <si>
    <t xml:space="preserve">TERO Karuk-Owned Indian Business Roster</t>
  </si>
  <si>
    <t xml:space="preserve">Official Karuk Tribe TERO</t>
  </si>
  <si>
    <t xml:space="preserve">https://www.karuk.us/departments/tribal-employment-rights-ordinance-office-tero</t>
  </si>
  <si>
    <t xml:space="preserve">TBD-097</t>
  </si>
  <si>
    <t xml:space="preserve">Eastern Shoshone Tribe and Northern Arapaho Tribe / Wind River</t>
  </si>
  <si>
    <t xml:space="preserve">WY</t>
  </si>
  <si>
    <t xml:space="preserve">multi_nation</t>
  </si>
  <si>
    <t xml:space="preserve">Wind River TERO Indian-Owned Business List</t>
  </si>
  <si>
    <t xml:space="preserve">Wind River TERO</t>
  </si>
  <si>
    <t xml:space="preserve">https://www.windriver-tero.com/documents/</t>
  </si>
  <si>
    <t xml:space="preserve">TBD-096</t>
  </si>
  <si>
    <t xml:space="preserve">Assiniboine and Sioux Tribes of the Fort Peck Indian Reservation</t>
  </si>
  <si>
    <t xml:space="preserve">TERO Certified Entity List</t>
  </si>
  <si>
    <t xml:space="preserve">Partnership request and official-site monitoring</t>
  </si>
  <si>
    <t xml:space="preserve">Official Fort Peck Tribal Code</t>
  </si>
  <si>
    <t xml:space="preserve">https://fptc.org/title_13</t>
  </si>
  <si>
    <t xml:space="preserve">TBD-095</t>
  </si>
  <si>
    <t xml:space="preserve">Northern Cheyenne Tribe</t>
  </si>
  <si>
    <t xml:space="preserve">TERO Certified Contractor List</t>
  </si>
  <si>
    <t xml:space="preserve">Official Northern Cheyenne Tribe TERO</t>
  </si>
  <si>
    <t xml:space="preserve">https://cheyennenation.com/nct/Tero.html</t>
  </si>
  <si>
    <t xml:space="preserve">TBD-058</t>
  </si>
  <si>
    <t xml:space="preserve">Spirit Lake Nation</t>
  </si>
  <si>
    <t xml:space="preserve">Tribally Owned and Certified Indian-Owned Business List</t>
  </si>
  <si>
    <t xml:space="preserve">PDF code</t>
  </si>
  <si>
    <t xml:space="preserve">Official tribal ordinance</t>
  </si>
  <si>
    <t xml:space="preserve">https://www.spiritlakenation.com/linkgen/?media_id=4267</t>
  </si>
  <si>
    <t xml:space="preserve">TBD-056</t>
  </si>
  <si>
    <t xml:space="preserve">Yavapai-Apache Nation</t>
  </si>
  <si>
    <t xml:space="preserve">TERO Certified Firm List</t>
  </si>
  <si>
    <t xml:space="preserve">HTML plus PDF</t>
  </si>
  <si>
    <t xml:space="preserve">Official tribal code/procurement materials</t>
  </si>
  <si>
    <t xml:space="preserve">https://yavapai-apache.org/documents/</t>
  </si>
  <si>
    <t xml:space="preserve">TBD-055</t>
  </si>
  <si>
    <t xml:space="preserve">Yakama Nation</t>
  </si>
  <si>
    <t xml:space="preserve">TERO Indian Preference Files</t>
  </si>
  <si>
    <t xml:space="preserve">Official tribal government/TERO</t>
  </si>
  <si>
    <t xml:space="preserve">https://yakama.com/employment/tero/</t>
  </si>
  <si>
    <t xml:space="preserve">TBD-054</t>
  </si>
  <si>
    <t xml:space="preserve">Quinault Indian Nation</t>
  </si>
  <si>
    <t xml:space="preserve">Native-Owned Business Certification / TERO Directory</t>
  </si>
  <si>
    <t xml:space="preserve">https://www.quinaultindiannation.com/234/Tribal-Employment-Rights-Ordinance-TERO</t>
  </si>
  <si>
    <t xml:space="preserve">TBD-052</t>
  </si>
  <si>
    <t xml:space="preserve">Mashantucket Pequot Tribal Nation</t>
  </si>
  <si>
    <t xml:space="preserve">CT</t>
  </si>
  <si>
    <t xml:space="preserve">MPTN Member-Owned Business Certification Program</t>
  </si>
  <si>
    <t xml:space="preserve">Official Mashantucket Employment Rights Office</t>
  </si>
  <si>
    <t xml:space="preserve">https://mero.mptn-nsn.gov/contracting-programs/mptn-member-owned-business-certification-program/</t>
  </si>
  <si>
    <t xml:space="preserve">TBD-051</t>
  </si>
  <si>
    <t xml:space="preserve">Bishop Paiute Tribe</t>
  </si>
  <si>
    <t xml:space="preserve">TERO Comprehensive Business List</t>
  </si>
  <si>
    <t xml:space="preserve">PDF newsletter plus site</t>
  </si>
  <si>
    <t xml:space="preserve">Official Bishop TERO publication</t>
  </si>
  <si>
    <t xml:space="preserve">https://bishoptero.com/</t>
  </si>
  <si>
    <t xml:space="preserve">TBD-050</t>
  </si>
  <si>
    <t xml:space="preserve">Hoopa Valley Tribe</t>
  </si>
  <si>
    <t xml:space="preserve">TERO Contractor’s List</t>
  </si>
  <si>
    <t xml:space="preserve">https://www.hoopa-nsn.gov/departments/1490-2/tero-department/</t>
  </si>
  <si>
    <t xml:space="preserve">TBD-049</t>
  </si>
  <si>
    <t xml:space="preserve">Tolowa Dee-ni’ Nation</t>
  </si>
  <si>
    <t xml:space="preserve">TERO Indian-Owned Firm Register / Bidder Eligibility List</t>
  </si>
  <si>
    <t xml:space="preserve">PDF ordinance/forms</t>
  </si>
  <si>
    <t xml:space="preserve">https://www.tolowa.gov/DocumentCenter/View/135/TERO-Code-PDF</t>
  </si>
  <si>
    <t xml:space="preserve">TBD-048</t>
  </si>
  <si>
    <t xml:space="preserve">Grand Portage Band of Lake Superior Chippewa</t>
  </si>
  <si>
    <t xml:space="preserve">Certified GPMOB / NAOB Directory</t>
  </si>
  <si>
    <t xml:space="preserve">Partnership/request; monitor site</t>
  </si>
  <si>
    <t xml:space="preserve">PDF ordinance</t>
  </si>
  <si>
    <t xml:space="preserve">https://www.grandportageband.com/wp-content/uploads/2025/08/GP-TERO-Ordinance-053106-Enacted-copy5.pdf</t>
  </si>
  <si>
    <t xml:space="preserve">TBD-029</t>
  </si>
  <si>
    <t xml:space="preserve">Cowlitz Indian Tribe</t>
  </si>
  <si>
    <t xml:space="preserve">Cowlitz Native-Owned Business Directory</t>
  </si>
  <si>
    <t xml:space="preserve">Monitor launch and request structured export</t>
  </si>
  <si>
    <t xml:space="preserve">Official social announcement plus intake link</t>
  </si>
  <si>
    <t xml:space="preserve">Cowlitz Economic Authority in partnership with Cowlitz Indian Tribe</t>
  </si>
  <si>
    <t xml:space="preserve">https://www.linkedin.com/company/cowlitz-indian-tribe</t>
  </si>
  <si>
    <t xml:space="preserve">TBD-026</t>
  </si>
  <si>
    <t xml:space="preserve">Little Traverse Bay Bands of Odawa Indians</t>
  </si>
  <si>
    <t xml:space="preserve">LTBB Tribal Citizen-Owned Business List</t>
  </si>
  <si>
    <t xml:space="preserve">Partnership/request; monitor official site</t>
  </si>
  <si>
    <t xml:space="preserve">Official tribal function documented by NCAI job listing</t>
  </si>
  <si>
    <t xml:space="preserve">https://www.ncai.org/resources/job-listings/department-of-commerce-director</t>
  </si>
  <si>
    <t xml:space="preserve">TBD-025</t>
  </si>
  <si>
    <t xml:space="preserve">Band Member Resource Directory</t>
  </si>
  <si>
    <t xml:space="preserve">Monitor publications; request export</t>
  </si>
  <si>
    <t xml:space="preserve">Official Band publication / Mille Lacs Corporate Ventures</t>
  </si>
  <si>
    <t xml:space="preserve">https://tambourine-flugelhorn-9mlf.squarespace.com/s/2024-INAAJIMOWIN-08-AUGUST-FINAL-SMALL.pdf</t>
  </si>
  <si>
    <t xml:space="preserve">TBD-024</t>
  </si>
  <si>
    <t xml:space="preserve">Grand Traverse Band of Ottawa and Chippewa Indians</t>
  </si>
  <si>
    <t xml:space="preserve">GTB Member Service Directory</t>
  </si>
  <si>
    <t xml:space="preserve">Member services directory</t>
  </si>
  <si>
    <t xml:space="preserve">Resolve link; request export</t>
  </si>
  <si>
    <t xml:space="preserve">HTML plus linked form/document</t>
  </si>
  <si>
    <t xml:space="preserve">Official tribal government</t>
  </si>
  <si>
    <t xml:space="preserve">https://www.gtbindians.org/rfp.asp</t>
  </si>
  <si>
    <t xml:space="preserve">TBD-023</t>
  </si>
  <si>
    <t xml:space="preserve">Penobscot Nation</t>
  </si>
  <si>
    <t xml:space="preserve">ME</t>
  </si>
  <si>
    <t xml:space="preserve">Business and Service Directory</t>
  </si>
  <si>
    <t xml:space="preserve">Monitor page; request export</t>
  </si>
  <si>
    <t xml:space="preserve">https://www.penobscotnation.org/business-and-service-directory/</t>
  </si>
  <si>
    <t xml:space="preserve">TBD-022</t>
  </si>
  <si>
    <t xml:space="preserve">Snoqualmie Indian Tribe</t>
  </si>
  <si>
    <t xml:space="preserve">Tribal Members Business Directory</t>
  </si>
  <si>
    <t xml:space="preserve">Monitor newsletters; request data feed</t>
  </si>
  <si>
    <t xml:space="preserve">Official tribal government/newsletter</t>
  </si>
  <si>
    <t xml:space="preserve">https://snoqualmietribe.us/wp-content/uploads/Newsletters/MARCH-Tribal-Member-Newsletter_small.pdf</t>
  </si>
  <si>
    <t xml:space="preserve">TBD-021</t>
  </si>
  <si>
    <t xml:space="preserve">Native Village of Eyak</t>
  </si>
  <si>
    <t xml:space="preserve">Tribal Member Business Directory</t>
  </si>
  <si>
    <t xml:space="preserve">Monitor intake page; partnership feed</t>
  </si>
  <si>
    <t xml:space="preserve">https://www.eyak-nsn.gov/477-department/</t>
  </si>
  <si>
    <t xml:space="preserve">TBD-191</t>
  </si>
  <si>
    <t xml:space="preserve">Native Hawaiian Organizations Association</t>
  </si>
  <si>
    <t xml:space="preserve">HI</t>
  </si>
  <si>
    <t xml:space="preserve">NHOA member list (~23 NHOs)</t>
  </si>
  <si>
    <t xml:space="preserve">Trade-association member list (NHO entities)</t>
  </si>
  <si>
    <t xml:space="preserve">Live</t>
  </si>
  <si>
    <t xml:space="preserve">Static HTML crawl</t>
  </si>
  <si>
    <t xml:space="preserve">Web page</t>
  </si>
  <si>
    <t xml:space="preserve">NHOA</t>
  </si>
  <si>
    <t xml:space="preserve">https://www.nhoassociation.org/members.html</t>
  </si>
  <si>
    <t xml:space="preserve">TBD-190</t>
  </si>
  <si>
    <t xml:space="preserve">U.S. DOI Office of Native Hawaiian Relations</t>
  </si>
  <si>
    <t xml:space="preserve">Native Hawaiian 8(a) list (via SBA Dynamic Small Business Search)</t>
  </si>
  <si>
    <t xml:space="preserve">Federal registry pointer (NHO entities)</t>
  </si>
  <si>
    <t xml:space="preserve">Web + database query</t>
  </si>
  <si>
    <t xml:space="preserve">DOI / SBA (federal)</t>
  </si>
  <si>
    <t xml:space="preserve">https://www.doi.gov/hawaiian/native-hawaiian-8a-list</t>
  </si>
  <si>
    <t xml:space="preserve">TBD-189</t>
  </si>
  <si>
    <t xml:space="preserve">Hui 'Oihana (Hawai'i Island NH Chamber)</t>
  </si>
  <si>
    <t xml:space="preserve">Hui 'Oihana Member Directory</t>
  </si>
  <si>
    <t xml:space="preserve">Chamber member directory</t>
  </si>
  <si>
    <t xml:space="preserve">Hui 'Oihana</t>
  </si>
  <si>
    <t xml:space="preserve">https://huioihana.com/Members</t>
  </si>
  <si>
    <t xml:space="preserve">TBD-188</t>
  </si>
  <si>
    <t xml:space="preserve">Native Hawaiian Chamber of Commerce (Honolulu)</t>
  </si>
  <si>
    <t xml:space="preserve">NHCC Member Directory</t>
  </si>
  <si>
    <t xml:space="preserve">Native Hawaiian Chamber of Commerce</t>
  </si>
  <si>
    <t xml:space="preserve">https://business.nativehawaiianchamberofcommerce.org/business-directory/Find</t>
  </si>
  <si>
    <t xml:space="preserve">TBD-187</t>
  </si>
  <si>
    <t xml:space="preserve">Council for Native Hawaiian Advancement (Hawaiian Council)</t>
  </si>
  <si>
    <t xml:space="preserve">Pop-Up Makeke marketplace vendor roster (popupmakeke.com)</t>
  </si>
  <si>
    <t xml:space="preserve">Nonprofit marketplace</t>
  </si>
  <si>
    <t xml:space="preserve">Shopify marketplace</t>
  </si>
  <si>
    <t xml:space="preserve">CNHA / Hawaiian Council (501c3)</t>
  </si>
  <si>
    <t xml:space="preserve">https://popupmakeke.com/pages/about</t>
  </si>
  <si>
    <t xml:space="preserve">TBD-186</t>
  </si>
  <si>
    <t xml:space="preserve">Office of Hawaiian Affairs — Loan Programs</t>
  </si>
  <si>
    <t xml:space="preserve">OHA Native Hawaiian Business Owners showcase (loans.oha.org)</t>
  </si>
  <si>
    <t xml:space="preserve">State-agency borrower directory (Native Hawaiian)</t>
  </si>
  <si>
    <t xml:space="preserve">Web directory + profiles</t>
  </si>
  <si>
    <t xml:space="preserve">Office of Hawaiian Affairs (state agency)</t>
  </si>
  <si>
    <t xml:space="preserve">https://loans.oha.org/native-hawaiian-business-owners/</t>
  </si>
  <si>
    <t xml:space="preserve">TBD-185</t>
  </si>
  <si>
    <t xml:space="preserve">NaHHA + Native Hawaiian Chambers of Commerce (Kuhikuhi)</t>
  </si>
  <si>
    <t xml:space="preserve">Kuhikuhi.com — Native Hawaiian-owned business directory</t>
  </si>
  <si>
    <t xml:space="preserve">Community directory (Native Hawaiian)</t>
  </si>
  <si>
    <t xml:space="preserve">NaHHA + NH Chambers</t>
  </si>
  <si>
    <t xml:space="preserve">https://www.kuhikuhi.com/</t>
  </si>
  <si>
    <t xml:space="preserve">TBD-184</t>
  </si>
  <si>
    <t xml:space="preserve">Kanaka Economic Development Alliance (Native Hawaiian)</t>
  </si>
  <si>
    <t xml:space="preserve">Native Hawaiian Business Directory (NHBD, kanakaeconomy.com)</t>
  </si>
  <si>
    <t xml:space="preserve">Community certification directory (Native Hawaiian)</t>
  </si>
  <si>
    <t xml:space="preserve">Web directory (WordPress listing archives)</t>
  </si>
  <si>
    <t xml:space="preserve">KEDA (community organization)</t>
  </si>
  <si>
    <t xml:space="preserve">https://kanakaeconomy.com/listing/</t>
  </si>
  <si>
    <t xml:space="preserve">TBD-183</t>
  </si>
  <si>
    <t xml:space="preserve">Metlakatla Indian Community</t>
  </si>
  <si>
    <t xml:space="preserve">Metlakatla Community Directory (metlakatla.com/directory/)</t>
  </si>
  <si>
    <t xml:space="preserve">Tribal community directory</t>
  </si>
  <si>
    <t xml:space="preserve">https://www.metlakatla.com/directory/</t>
  </si>
  <si>
    <t xml:space="preserve">TBD-182</t>
  </si>
  <si>
    <t xml:space="preserve">Pueblo of San Ildefonso</t>
  </si>
  <si>
    <t xml:space="preserve">San Ildefonso Pueblo Artists pages (sanipueblo.org/artists/)</t>
  </si>
  <si>
    <t xml:space="preserve">Tribal artist directory</t>
  </si>
  <si>
    <t xml:space="preserve">Web pages (per-artist)</t>
  </si>
  <si>
    <t xml:space="preserve">https://sanipueblo.org/artists/</t>
  </si>
  <si>
    <t xml:space="preserve">TBD-181</t>
  </si>
  <si>
    <t xml:space="preserve">Pyramid Lake Business Directory (pyramidlake.us)</t>
  </si>
  <si>
    <t xml:space="preserve">Tribal business/community directory</t>
  </si>
  <si>
    <t xml:space="preserve">https://pyramidlake.us/business-directory</t>
  </si>
  <si>
    <t xml:space="preserve">TBD-180</t>
  </si>
  <si>
    <t xml:space="preserve">Hoopa Valley Active Business License list</t>
  </si>
  <si>
    <t xml:space="preserve">Tribal business-license roll</t>
  </si>
  <si>
    <t xml:space="preserve">Web page list</t>
  </si>
  <si>
    <t xml:space="preserve">https://www.hoopa-nsn.gov/active-business-license/</t>
  </si>
  <si>
    <t xml:space="preserve">TBD-179</t>
  </si>
  <si>
    <t xml:space="preserve">Tlingit &amp; Haida Certified Tribal Artist Program (CTAP) + Shop Tlingit &amp; Haida artists page</t>
  </si>
  <si>
    <t xml:space="preserve">Tribal artist certification / directory</t>
  </si>
  <si>
    <t xml:space="preserve">Tribal Primary</t>
  </si>
  <si>
    <t xml:space="preserve">Web pages (program + artists listing)</t>
  </si>
  <si>
    <t xml:space="preserve">Tlingit &amp; Haida Business &amp; Economic Development</t>
  </si>
  <si>
    <t xml:space="preserve">https://www.shoptlingithaida.com/artists.html</t>
  </si>
  <si>
    <t xml:space="preserve">TBD-177</t>
  </si>
  <si>
    <t xml:space="preserve">Hoonah Indian Association</t>
  </si>
  <si>
    <t xml:space="preserve">Hoonah Indian Association Business Directory List</t>
  </si>
  <si>
    <t xml:space="preserve">Tribal site business directory</t>
  </si>
  <si>
    <t xml:space="preserve">Static HTML</t>
  </si>
  <si>
    <t xml:space="preserve">https://www.hiatribe.org/community/advanced-components/business-directory-list</t>
  </si>
  <si>
    <t xml:space="preserve">TBD-176</t>
  </si>
  <si>
    <t xml:space="preserve">Kawerak, Inc. (Bering Strait regional consortium)</t>
  </si>
  <si>
    <t xml:space="preserve">Bering Strait Business Directory (beringstrait.biz)</t>
  </si>
  <si>
    <t xml:space="preserve">Regional consortium business directory</t>
  </si>
  <si>
    <t xml:space="preserve">Static HTML crawl of /businesses/ and community pages</t>
  </si>
  <si>
    <t xml:space="preserve">Searchable web directory (businesses, communities, categories)</t>
  </si>
  <si>
    <t xml:space="preserve">Kawerak, Inc.</t>
  </si>
  <si>
    <t xml:space="preserve">https://www.beringstrait.biz/</t>
  </si>
  <si>
    <t xml:space="preserve">TBD-175</t>
  </si>
  <si>
    <t xml:space="preserve">Shoshone-Paiute Tribes of the Duck Valley Reservation</t>
  </si>
  <si>
    <t xml:space="preserve">NV/ID</t>
  </si>
  <si>
    <t xml:space="preserve">Duck Valley Indian Reservation Community Directory</t>
  </si>
  <si>
    <t xml:space="preserve">Tribal community directory including local businesses</t>
  </si>
  <si>
    <t xml:space="preserve">https://shopaitribes.org/spt/directory.html</t>
  </si>
  <si>
    <t xml:space="preserve">TBD-174</t>
  </si>
  <si>
    <t xml:space="preserve">Houlton Band of Maliseet Indians</t>
  </si>
  <si>
    <t xml:space="preserve">Maliseet Directory — Our Businesses</t>
  </si>
  <si>
    <t xml:space="preserve">Tribal directory with businesses section</t>
  </si>
  <si>
    <t xml:space="preserve">https://maliseets.net/directory/</t>
  </si>
  <si>
    <t xml:space="preserve">TBD-172</t>
  </si>
  <si>
    <t xml:space="preserve">Confederated Tribes of the Chehalis Reservation</t>
  </si>
  <si>
    <t xml:space="preserve">Chehalis Approved Vendors (Planning Department business-license list)</t>
  </si>
  <si>
    <t xml:space="preserve">Tribal business-license vendor list</t>
  </si>
  <si>
    <t xml:space="preserve">Searchable HTML list</t>
  </si>
  <si>
    <t xml:space="preserve">Chehalis Tribal Planning Department</t>
  </si>
  <si>
    <t xml:space="preserve">https://www.chehalistribe.org/departments/planning-department/approved-vendors/</t>
  </si>
  <si>
    <t xml:space="preserve">TBD-171</t>
  </si>
  <si>
    <t xml:space="preserve">Pueblo of San Felipe</t>
  </si>
  <si>
    <t xml:space="preserve">Pueblo of San Felipe Tribal Enterprises page</t>
  </si>
  <si>
    <t xml:space="preserve">Tribal enterprise page</t>
  </si>
  <si>
    <t xml:space="preserve">HTML page</t>
  </si>
  <si>
    <t xml:space="preserve">≈3 named enterprises</t>
  </si>
  <si>
    <t xml:space="preserve">https://sfpueblo.com/our-pueblo/tribal-enterprises/</t>
  </si>
  <si>
    <t xml:space="preserve">TBD-170</t>
  </si>
  <si>
    <t xml:space="preserve">Pueblo of Pojoaque</t>
  </si>
  <si>
    <t xml:space="preserve">Pueblo of Pojoaque Business page (corporate enterprises)</t>
  </si>
  <si>
    <t xml:space="preserve">≈4-5 named enterprises</t>
  </si>
  <si>
    <t xml:space="preserve">https://pojoaque.org/business/</t>
  </si>
  <si>
    <t xml:space="preserve">TBD-169</t>
  </si>
  <si>
    <t xml:space="preserve">Pueblo of Jemez</t>
  </si>
  <si>
    <t xml:space="preserve">Pueblo of Jemez Business page (tribal enterprises)</t>
  </si>
  <si>
    <t xml:space="preserve">≈4 named enterprises</t>
  </si>
  <si>
    <t xml:space="preserve">https://www.jemezpueblo.org/business/</t>
  </si>
  <si>
    <t xml:space="preserve">TBD-166</t>
  </si>
  <si>
    <t xml:space="preserve">Confederated Tribes of Siletz Indians</t>
  </si>
  <si>
    <t xml:space="preserve">Siletz Tribal Business Directory</t>
  </si>
  <si>
    <t xml:space="preserve">Tribal member business directory</t>
  </si>
  <si>
    <t xml:space="preserve">Confirm directory endpoint, then crawl</t>
  </si>
  <si>
    <t xml:space="preserve">Searchable web directory</t>
  </si>
  <si>
    <t xml:space="preserve">Siletz Tribal Business Corporation (CTSI)</t>
  </si>
  <si>
    <t xml:space="preserve">https://www.stbcorp.net/</t>
  </si>
  <si>
    <t xml:space="preserve">TBD-108</t>
  </si>
  <si>
    <t xml:space="preserve">Licensed Businesses List</t>
  </si>
  <si>
    <t xml:space="preserve">Mixed licensed-business directory</t>
  </si>
  <si>
    <t xml:space="preserve">Monitor landing page and parse current list</t>
  </si>
  <si>
    <t xml:space="preserve">HTML plus protected/linked file</t>
  </si>
  <si>
    <t xml:space="preserve">Official Swinomish Indian Tribal Community</t>
  </si>
  <si>
    <t xml:space="preserve">https://www.swinomish-nsn.gov/planning-permitting/page/licensing</t>
  </si>
  <si>
    <t xml:space="preserve">TBD-130</t>
  </si>
  <si>
    <t xml:space="preserve">Calista Corporation</t>
  </si>
  <si>
    <t xml:space="preserve">Calivika Shareholder Directory</t>
  </si>
  <si>
    <t xml:space="preserve">Dynamic directory plus form</t>
  </si>
  <si>
    <t xml:space="preserve">https://www.calistacorp.com/calista-shareholder-business-directory/</t>
  </si>
  <si>
    <t xml:space="preserve">TBD-129</t>
  </si>
  <si>
    <t xml:space="preserve">Koniag, Inc.</t>
  </si>
  <si>
    <t xml:space="preserve">Shareholder and Descendant Artist and Business Directory</t>
  </si>
  <si>
    <t xml:space="preserve">Dynamic JS directory with category pages</t>
  </si>
  <si>
    <t xml:space="preserve">https://koniagbizdirectory.com/</t>
  </si>
  <si>
    <t xml:space="preserve">TBD-125</t>
  </si>
  <si>
    <t xml:space="preserve">Bristol Bay Native Corporation</t>
  </si>
  <si>
    <t xml:space="preserve">BBNC Shareholder-Owned Business Directory</t>
  </si>
  <si>
    <t xml:space="preserve">220+</t>
  </si>
  <si>
    <t xml:space="preserve">https://bbncshareholderbiz.com/</t>
  </si>
  <si>
    <t xml:space="preserve">TBD-131</t>
  </si>
  <si>
    <t xml:space="preserve">Bering Straits Native Corporation</t>
  </si>
  <si>
    <t xml:space="preserve">Shareholder-Owned Businesses Registry</t>
  </si>
  <si>
    <t xml:space="preserve">Category-aware DOM scrape</t>
  </si>
  <si>
    <t xml:space="preserve">WordPress directory plus PDF form</t>
  </si>
  <si>
    <t xml:space="preserve">https://beringstraits.com/business-registry/</t>
  </si>
  <si>
    <t xml:space="preserve">TBD-128</t>
  </si>
  <si>
    <t xml:space="preserve">Afognak Native Corporation</t>
  </si>
  <si>
    <t xml:space="preserve">Shareholder-Owned Business and Service Directory</t>
  </si>
  <si>
    <t xml:space="preserve">HTML directory plus PDF form</t>
  </si>
  <si>
    <t xml:space="preserve">https://afognak.com/shareholder-businesses/</t>
  </si>
  <si>
    <t xml:space="preserve">TBD-127</t>
  </si>
  <si>
    <t xml:space="preserve">Chugach Alaska Corporation</t>
  </si>
  <si>
    <t xml:space="preserve">Shareholder Business Directory</t>
  </si>
  <si>
    <t xml:space="preserve">HTML cards</t>
  </si>
  <si>
    <t xml:space="preserve">https://www.chugach.com/shareholders/shareholder-business-directory</t>
  </si>
  <si>
    <t xml:space="preserve">TBD-142</t>
  </si>
  <si>
    <t xml:space="preserve">South Puget Intertribal Planning Agency</t>
  </si>
  <si>
    <t xml:space="preserve">BENEP Native Business Directory</t>
  </si>
  <si>
    <t xml:space="preserve">Intertribal Native-business directory</t>
  </si>
  <si>
    <t xml:space="preserve">DOM scrape or endpoint discovery</t>
  </si>
  <si>
    <t xml:space="preserve">Dynamic HTML directory</t>
  </si>
  <si>
    <t xml:space="preserve">Intertribal planning agency</t>
  </si>
  <si>
    <t xml:space="preserve">https://spipa.org/native-business-directory/</t>
  </si>
  <si>
    <t xml:space="preserve">TBD-141</t>
  </si>
  <si>
    <t xml:space="preserve">Menominee Indian Tribe of Wisconsin</t>
  </si>
  <si>
    <t xml:space="preserve">Menominee Contractors Listing</t>
  </si>
  <si>
    <t xml:space="preserve">Tribal contractor directory</t>
  </si>
  <si>
    <t xml:space="preserve">Static pagination crawl</t>
  </si>
  <si>
    <t xml:space="preserve">Paginated HTML table</t>
  </si>
  <si>
    <t xml:space="preserve">Official Menominee Indian Tribe of Wisconsin</t>
  </si>
  <si>
    <t xml:space="preserve">https://www.menominee-nsn.gov/BusinessPages/ContractorsListing</t>
  </si>
  <si>
    <t xml:space="preserve">TBD-140</t>
  </si>
  <si>
    <t xml:space="preserve">Cheyenne River Sioux Tribe / Four Bands Community Fund</t>
  </si>
  <si>
    <t xml:space="preserve">Four Bands Shop Local Business Directory</t>
  </si>
  <si>
    <t xml:space="preserve">Tribe-linked CDFI directory</t>
  </si>
  <si>
    <t xml:space="preserve">WordPress directory</t>
  </si>
  <si>
    <t xml:space="preserve">Four Bands Community Fund, linked by Cheyenne River Sioux Tribe</t>
  </si>
  <si>
    <t xml:space="preserve">https://fourbands.org/visit-cheyenne-river/shop-local/</t>
  </si>
  <si>
    <t xml:space="preserve">TBD-013</t>
  </si>
  <si>
    <t xml:space="preserve">WAMP Owned / Chappaquiddick Wampanoag</t>
  </si>
  <si>
    <t xml:space="preserve">WAMP Owned</t>
  </si>
  <si>
    <t xml:space="preserve">Tribal/community website</t>
  </si>
  <si>
    <t xml:space="preserve">https://www.chappaquiddickwampanoagtribe.org/wamp-owned</t>
  </si>
  <si>
    <t xml:space="preserve">TBD-012</t>
  </si>
  <si>
    <t xml:space="preserve">Bad River Band of Lake Superior Chippewa</t>
  </si>
  <si>
    <t xml:space="preserve">Mixed local/member directory</t>
  </si>
  <si>
    <t xml:space="preserve">HTML table scrape</t>
  </si>
  <si>
    <t xml:space="preserve">HTML table</t>
  </si>
  <si>
    <t xml:space="preserve">https://www.badriver-nsn.gov/business-directory/</t>
  </si>
  <si>
    <t xml:space="preserve">TBD-011</t>
  </si>
  <si>
    <t xml:space="preserve">Red Cliff Band of Lake Superior Chippewa</t>
  </si>
  <si>
    <t xml:space="preserve">https://www.redcliff-nsn.gov/community/tourism/business_directory.php</t>
  </si>
  <si>
    <t xml:space="preserve">TBD-007</t>
  </si>
  <si>
    <t xml:space="preserve">Section-aware DOM scrape</t>
  </si>
  <si>
    <t xml:space="preserve">TBD-082</t>
  </si>
  <si>
    <t xml:space="preserve">Otoe-Missouria Tribe</t>
  </si>
  <si>
    <t xml:space="preserve">List of Approved Vendors</t>
  </si>
  <si>
    <t xml:space="preserve">Discover page endpoint or browser-assisted scrape</t>
  </si>
  <si>
    <t xml:space="preserve">Dynamic HTML</t>
  </si>
  <si>
    <t xml:space="preserve">Official Otoe-Missouria Tribe TERO</t>
  </si>
  <si>
    <t xml:space="preserve">https://www.omtribe.org/what-we-do/tero/list-of-approved-vendors/</t>
  </si>
  <si>
    <t xml:space="preserve">TBD-081</t>
  </si>
  <si>
    <t xml:space="preserve">Pawnee Nation of Oklahoma</t>
  </si>
  <si>
    <t xml:space="preserve">Certified Indian Preference Business Registry</t>
  </si>
  <si>
    <t xml:space="preserve">Discover backing endpoint or browser-assisted scrape</t>
  </si>
  <si>
    <t xml:space="preserve">Dynamic web registry</t>
  </si>
  <si>
    <t xml:space="preserve">Weekly</t>
  </si>
  <si>
    <t xml:space="preserve">Official Pawnee Nation TERO</t>
  </si>
  <si>
    <t xml:space="preserve">https://directory.pawneenationtero.com/</t>
  </si>
  <si>
    <t xml:space="preserve">TBD-078</t>
  </si>
  <si>
    <t xml:space="preserve">Choctaw Nation of Oklahoma</t>
  </si>
  <si>
    <t xml:space="preserve">Choctaw Small Business Directory</t>
  </si>
  <si>
    <t xml:space="preserve">Discover embedded endpoint or use browser-assisted scrape</t>
  </si>
  <si>
    <t xml:space="preserve">Dynamic embedded directory</t>
  </si>
  <si>
    <t xml:space="preserve">Official Choctaw Nation small-business program</t>
  </si>
  <si>
    <t xml:space="preserve">https://choctawsmallbusiness.com/business-directory/</t>
  </si>
  <si>
    <t xml:space="preserve">TBD-074</t>
  </si>
  <si>
    <t xml:space="preserve">Tohono O’odham Nation</t>
  </si>
  <si>
    <t xml:space="preserve">TERO Certified Firms Listing</t>
  </si>
  <si>
    <t xml:space="preserve">Image extraction or direct source feed</t>
  </si>
  <si>
    <t xml:space="preserve">Image-based web pages</t>
  </si>
  <si>
    <t xml:space="preserve">Official Tohono O’odham Nation TERO</t>
  </si>
  <si>
    <t xml:space="preserve">https://www.tonation-nsn.gov/departments/public-safety/tero/tero-information/july-2026-updated-certified-firms-listing-v2_page_1/</t>
  </si>
  <si>
    <t xml:space="preserve">TBD-043</t>
  </si>
  <si>
    <t xml:space="preserve">Eastern Band of Cherokee Indians</t>
  </si>
  <si>
    <t xml:space="preserve">Certified Vendor List</t>
  </si>
  <si>
    <t xml:space="preserve">Browser-assisted retrieval</t>
  </si>
  <si>
    <t xml:space="preserve">Protected HTML/PDF</t>
  </si>
  <si>
    <t xml:space="preserve">Bimonthly</t>
  </si>
  <si>
    <t xml:space="preserve">Official EBCI TERO</t>
  </si>
  <si>
    <t xml:space="preserve">https://ebci-tero.com/vendor-list/</t>
  </si>
  <si>
    <t xml:space="preserve">TBD-040</t>
  </si>
  <si>
    <t xml:space="preserve">Oneida Nation</t>
  </si>
  <si>
    <t xml:space="preserve">Indian Preference Vendor List</t>
  </si>
  <si>
    <t xml:space="preserve">API discovery or browser-assisted scrape</t>
  </si>
  <si>
    <t xml:space="preserve">https://oneida-nsn.gov/business/indian-preference/indian-preference-vendor-list/</t>
  </si>
  <si>
    <t xml:space="preserve">TBD-016</t>
  </si>
  <si>
    <t xml:space="preserve">Sault Ste. Marie Tribe of Chippewa Indians</t>
  </si>
  <si>
    <t xml:space="preserve">Sault Tribe Citizen-Owned Business Directory</t>
  </si>
  <si>
    <t xml:space="preserve">Dynamic page scrape/API discovery</t>
  </si>
  <si>
    <t xml:space="preserve">Tribal economic-development initiative</t>
  </si>
  <si>
    <t xml:space="preserve">https://saulttribethrive.com/business-directory/</t>
  </si>
  <si>
    <t xml:space="preserve">TBD-076</t>
  </si>
  <si>
    <t xml:space="preserve">Ute Indian Tribe of the Uintah and Ouray Reservation</t>
  </si>
  <si>
    <t xml:space="preserve">UT</t>
  </si>
  <si>
    <t xml:space="preserve">UTERO Indian Preference Firms</t>
  </si>
  <si>
    <t xml:space="preserve">Download and parse PDF tables</t>
  </si>
  <si>
    <t xml:space="preserve">PDF table</t>
  </si>
  <si>
    <t xml:space="preserve">Official Ute Indian Tribe UTERO</t>
  </si>
  <si>
    <t xml:space="preserve">https://utetribe.com/wp-content/uploads/2026/04/April20-2026UTERO-IndianPreferenceFirms.pdf</t>
  </si>
  <si>
    <t xml:space="preserve">TBD-075</t>
  </si>
  <si>
    <t xml:space="preserve">Yurok Tribe</t>
  </si>
  <si>
    <t xml:space="preserve">TERO List of Contractors and Businesses</t>
  </si>
  <si>
    <t xml:space="preserve">Resolve list link and parse current file</t>
  </si>
  <si>
    <t xml:space="preserve">HTML plus linked document</t>
  </si>
  <si>
    <t xml:space="preserve">Official Yurok Tribe TERO</t>
  </si>
  <si>
    <t xml:space="preserve">https://www.yuroktribe.org/tero</t>
  </si>
  <si>
    <t xml:space="preserve">TBD-073</t>
  </si>
  <si>
    <t xml:space="preserve">Rosebud Sioux Tribe</t>
  </si>
  <si>
    <t xml:space="preserve">TECRO Certified Firms Listing</t>
  </si>
  <si>
    <t xml:space="preserve">Monitor landing page and parse current PDF</t>
  </si>
  <si>
    <t xml:space="preserve">Official Rosebud Sioux Tribe TECRO</t>
  </si>
  <si>
    <t xml:space="preserve">https://www.rst-tecro.org/</t>
  </si>
  <si>
    <t xml:space="preserve">TBD-057</t>
  </si>
  <si>
    <t xml:space="preserve">Southern Ute Indian Tribe</t>
  </si>
  <si>
    <t xml:space="preserve">2026 Indian Owned Business Listing</t>
  </si>
  <si>
    <t xml:space="preserve">Resolve 2026 file; parse table</t>
  </si>
  <si>
    <t xml:space="preserve">https://www.southernute-nsn.gov/justice-and-regulatory/tero/</t>
  </si>
  <si>
    <t xml:space="preserve">TBD-053</t>
  </si>
  <si>
    <t xml:space="preserve">Spokane Tribe of Indians</t>
  </si>
  <si>
    <t xml:space="preserve">Certified Indian Contractor / Local Company Lists</t>
  </si>
  <si>
    <t xml:space="preserve">Resolve document links; parse files</t>
  </si>
  <si>
    <t xml:space="preserve">HTML plus linked documents</t>
  </si>
  <si>
    <t xml:space="preserve">https://www.spokanetribe.com/government/tero/</t>
  </si>
  <si>
    <t xml:space="preserve">TBD-047</t>
  </si>
  <si>
    <t xml:space="preserve">Confederated Tribes of the Colville Reservation</t>
  </si>
  <si>
    <t xml:space="preserve">Title 10 Certified Contractor List</t>
  </si>
  <si>
    <t xml:space="preserve">Resolve list link; parse structured file</t>
  </si>
  <si>
    <t xml:space="preserve">HTML plus linked list/PDF</t>
  </si>
  <si>
    <t xml:space="preserve">https://www.colvilletribes.com/tero</t>
  </si>
  <si>
    <t xml:space="preserve">TBD-046</t>
  </si>
  <si>
    <t xml:space="preserve">Nez Perce Tribe</t>
  </si>
  <si>
    <t xml:space="preserve">ID</t>
  </si>
  <si>
    <t xml:space="preserve">TERO Certified Indian Business List</t>
  </si>
  <si>
    <t xml:space="preserve">Landing-page monitor plus PDF parse</t>
  </si>
  <si>
    <t xml:space="preserve">https://nezperce.org/resources/</t>
  </si>
  <si>
    <t xml:space="preserve">TBD-042</t>
  </si>
  <si>
    <t xml:space="preserve">Cherokee Nation</t>
  </si>
  <si>
    <t xml:space="preserve">TERO Certified Indian-Owned Business Directory</t>
  </si>
  <si>
    <t xml:space="preserve">Portal crawl/API discovery</t>
  </si>
  <si>
    <t xml:space="preserve">Searchable web portal</t>
  </si>
  <si>
    <t xml:space="preserve">700+</t>
  </si>
  <si>
    <t xml:space="preserve">Official Cherokee Nation TERO</t>
  </si>
  <si>
    <t xml:space="preserve">https://cherokeetero.com/directory</t>
  </si>
  <si>
    <t xml:space="preserve">TBD-041</t>
  </si>
  <si>
    <t xml:space="preserve">Navajo Nation</t>
  </si>
  <si>
    <t xml:space="preserve">AZ/NM/UT</t>
  </si>
  <si>
    <t xml:space="preserve">Navajo Business Opportunity Act Source List</t>
  </si>
  <si>
    <t xml:space="preserve">Official Navajo Nation economic-development office</t>
  </si>
  <si>
    <t xml:space="preserve">https://navajoeconomy.org/business-regulatory/nboa-source-listing/</t>
  </si>
  <si>
    <t xml:space="preserve">TBD-038</t>
  </si>
  <si>
    <t xml:space="preserve">Confederated Salish and Kootenai Tribes</t>
  </si>
  <si>
    <t xml:space="preserve">Indian Preference Certified Business Directory</t>
  </si>
  <si>
    <t xml:space="preserve">PDF linked from HTML</t>
  </si>
  <si>
    <t xml:space="preserve">Official tribal government/Indian Preference Office</t>
  </si>
  <si>
    <t xml:space="preserve">https://cskt.org/indian-preference-office/</t>
  </si>
  <si>
    <t xml:space="preserve">TBD-037</t>
  </si>
  <si>
    <t xml:space="preserve">Poarch Band of Creek Indians</t>
  </si>
  <si>
    <t xml:space="preserve">AL</t>
  </si>
  <si>
    <t xml:space="preserve">Certified Business List</t>
  </si>
  <si>
    <t xml:space="preserve">Official tribal government/regulatory affairs</t>
  </si>
  <si>
    <t xml:space="preserve">https://pci-nsn.gov/our-government/regulatory-affairs/</t>
  </si>
  <si>
    <t xml:space="preserve">TBD-036</t>
  </si>
  <si>
    <t xml:space="preserve">Blackfeet Nation</t>
  </si>
  <si>
    <t xml:space="preserve">TERO Catalog / Certified Indian Preference Firms</t>
  </si>
  <si>
    <t xml:space="preserve">Official Blackfeet TERO</t>
  </si>
  <si>
    <t xml:space="preserve">https://btero.com/</t>
  </si>
  <si>
    <t xml:space="preserve">TBD-035</t>
  </si>
  <si>
    <t xml:space="preserve">Puyallup Tribe of Indians</t>
  </si>
  <si>
    <t xml:space="preserve">Indian Preference Contractor Directory</t>
  </si>
  <si>
    <t xml:space="preserve">https://www.puyalluptribe-nsn.gov/employment-training-programs-services/tero/</t>
  </si>
  <si>
    <t xml:space="preserve">TBD-034</t>
  </si>
  <si>
    <t xml:space="preserve">Confederated Tribes of Warm Springs</t>
  </si>
  <si>
    <t xml:space="preserve">Download and table-parse PDF</t>
  </si>
  <si>
    <t xml:space="preserve">Tribal list mirrored by Oregon DOT</t>
  </si>
  <si>
    <t xml:space="preserve">https://www.oregon.gov/odot/business/procurement/pages/forms_tips_and_resources.aspx</t>
  </si>
  <si>
    <t xml:space="preserve">TBD-033</t>
  </si>
  <si>
    <t xml:space="preserve">Confederated Tribes of the Umatilla Indian Reservation</t>
  </si>
  <si>
    <t xml:space="preserve">Certified Indian-Owned Business Directory</t>
  </si>
  <si>
    <t xml:space="preserve">Download DOCX and parse tables</t>
  </si>
  <si>
    <t xml:space="preserve">DOCX linked from HTML</t>
  </si>
  <si>
    <t xml:space="preserve">https://ctuir.org/departments/workforce-development/tero/certified-indian-owned-business-directory/</t>
  </si>
  <si>
    <t xml:space="preserve">TBD-019</t>
  </si>
  <si>
    <t xml:space="preserve">Oneida Arts Program Artist Directory</t>
  </si>
  <si>
    <t xml:space="preserve">Landing-page crawl</t>
  </si>
  <si>
    <t xml:space="preserve">HTML / linked document</t>
  </si>
  <si>
    <t xml:space="preserve">https://oneida-nsn.gov/divisions/human-services/our-culture/arts-program-2/</t>
  </si>
  <si>
    <t xml:space="preserve">TBD-015</t>
  </si>
  <si>
    <t xml:space="preserve">Salt River Pima-Maricopa Indian Community</t>
  </si>
  <si>
    <t xml:space="preserve">Community Member Owned Business Directory / Salt River Business Listings</t>
  </si>
  <si>
    <t xml:space="preserve">Landing-page monitor plus document parse</t>
  </si>
  <si>
    <t xml:space="preserve">HTML plus newsletter/PDF</t>
  </si>
  <si>
    <t xml:space="preserve">https://srpmic-nsn.gov/government/cdd/edd/</t>
  </si>
  <si>
    <t xml:space="preserve">TBD-009</t>
  </si>
  <si>
    <t xml:space="preserve">Muckleshoot Indian Tribe</t>
  </si>
  <si>
    <t xml:space="preserve">Muckleshoot Artist Directory</t>
  </si>
  <si>
    <t xml:space="preserve">DOM scrape with manual review</t>
  </si>
  <si>
    <t xml:space="preserve">HTML / dynamic</t>
  </si>
  <si>
    <t xml:space="preserve">https://www.muckleshoot.nsn.us/artist-directory</t>
  </si>
  <si>
    <t xml:space="preserve">TBD-120</t>
  </si>
  <si>
    <t xml:space="preserve">Standing Rock Sioux Tribe</t>
  </si>
  <si>
    <t xml:space="preserve">ND/SD</t>
  </si>
  <si>
    <t xml:space="preserve">TERO Indian Preference Certification Hearing Notices</t>
  </si>
  <si>
    <t xml:space="preserve">Certification notice series</t>
  </si>
  <si>
    <t xml:space="preserve">Archive crawl and event extraction</t>
  </si>
  <si>
    <t xml:space="preserve">HTML archive posts plus linked images</t>
  </si>
  <si>
    <t xml:space="preserve">Official Standing Rock Sioux Tribe</t>
  </si>
  <si>
    <t xml:space="preserve">https://www.standingrock.org/2024/11/15/11-20-tero-public-hearing-announcement/</t>
  </si>
  <si>
    <t xml:space="preserve">TBD-039</t>
  </si>
  <si>
    <t xml:space="preserve">Mandan, Hidatsa and Arikara Nation</t>
  </si>
  <si>
    <t xml:space="preserve">Certified Indian Contractor Lists</t>
  </si>
  <si>
    <t xml:space="preserve">Prefer XLSX; parse PDFs as fallback</t>
  </si>
  <si>
    <t xml:space="preserve">HTML plus PDF/XLSX</t>
  </si>
  <si>
    <t xml:space="preserve">Official MHA TERO</t>
  </si>
  <si>
    <t xml:space="preserve">https://mhatero.com/contractor-lists/</t>
  </si>
  <si>
    <t xml:space="preserve">TBD-032</t>
  </si>
  <si>
    <t xml:space="preserve">Confederated Tribes of Grand Ronde</t>
  </si>
  <si>
    <t xml:space="preserve">HTML scrape or PDF table parse</t>
  </si>
  <si>
    <t xml:space="preserve">≈82</t>
  </si>
  <si>
    <t xml:space="preserve">https://www.grandronde.org/government/tero/</t>
  </si>
  <si>
    <t xml:space="preserve">TBD-018</t>
  </si>
  <si>
    <t xml:space="preserve">Chickasaw Nation</t>
  </si>
  <si>
    <t xml:space="preserve">Chickasaw Business Directory</t>
  </si>
  <si>
    <t xml:space="preserve">Search/category crawl</t>
  </si>
  <si>
    <t xml:space="preserve">Searchable HTML</t>
  </si>
  <si>
    <t xml:space="preserve">https://www.chickasawbusinessnetwork.com/Chickasaw-Business-Directory.aspx</t>
  </si>
  <si>
    <t xml:space="preserve">TBD-014</t>
  </si>
  <si>
    <t xml:space="preserve">Itam’yanáawit Business Directory</t>
  </si>
  <si>
    <t xml:space="preserve">Pagination and DOM scrape</t>
  </si>
  <si>
    <t xml:space="preserve">WordPress HTML</t>
  </si>
  <si>
    <t xml:space="preserve">Official tribal initiative</t>
  </si>
  <si>
    <t xml:space="preserve">https://buynezperce.org/business-directory/</t>
  </si>
  <si>
    <t xml:space="preserve">TBD-010</t>
  </si>
  <si>
    <t xml:space="preserve">Forest County Potawatomi Community</t>
  </si>
  <si>
    <t xml:space="preserve">FCP Tribal Member Owned Businesses</t>
  </si>
  <si>
    <t xml:space="preserve">WordPress archive scrape</t>
  </si>
  <si>
    <t xml:space="preserve">Official/tribal commerce site</t>
  </si>
  <si>
    <t xml:space="preserve">https://shop.fcpotawatomi.com/businesses/</t>
  </si>
  <si>
    <t xml:space="preserve">TBD-008</t>
  </si>
  <si>
    <t xml:space="preserve">Pamunkey Indian Tribe</t>
  </si>
  <si>
    <t xml:space="preserve">VA</t>
  </si>
  <si>
    <t xml:space="preserve">Pamunkey Artist Directory</t>
  </si>
  <si>
    <t xml:space="preserve">https://pamunkey.org/artists</t>
  </si>
  <si>
    <t xml:space="preserve">TBD-005</t>
  </si>
  <si>
    <t xml:space="preserve">Kenaitze Indian Tribe</t>
  </si>
  <si>
    <t xml:space="preserve">Kenaitze Tribal Member-Owned Businesses</t>
  </si>
  <si>
    <t xml:space="preserve">https://www.kenaitze.org/tribal-member-services/kenaitze-tribal-member-owned-businesses/</t>
  </si>
  <si>
    <t xml:space="preserve">TBD-004</t>
  </si>
  <si>
    <t xml:space="preserve">Wampanoag Tribe of Gay Head (Aquinnah)</t>
  </si>
  <si>
    <t xml:space="preserve">Business Listing</t>
  </si>
  <si>
    <t xml:space="preserve">https://wampanoagtribe-nsn.gov/business-listing</t>
  </si>
  <si>
    <t xml:space="preserve">TBD-003</t>
  </si>
  <si>
    <t xml:space="preserve">Patawomeck Indian Tribe of Virginia</t>
  </si>
  <si>
    <t xml:space="preserve">Tribal Member Owned Business Directory</t>
  </si>
  <si>
    <t xml:space="preserve">Official tribal website</t>
  </si>
  <si>
    <t xml:space="preserve">https://patawomeckindiantribeofvirginia.net/directory</t>
  </si>
  <si>
    <t xml:space="preserve">TBD-002</t>
  </si>
  <si>
    <t xml:space="preserve">Mechoopda Indian Tribe of Chico Rancheria</t>
  </si>
  <si>
    <t xml:space="preserve">Businesses Owned by Mechoopda Tribal Members</t>
  </si>
  <si>
    <t xml:space="preserve">https://www.mechoopda-nsn.gov/businesses-owned-by-mechoopda-tribal-members</t>
  </si>
  <si>
    <t xml:space="preserve">TBD-001</t>
  </si>
  <si>
    <t xml:space="preserve">Fallon Paiute-Shoshone Tribe</t>
  </si>
  <si>
    <t xml:space="preserve">Fallon Tribal Development Corporation</t>
  </si>
  <si>
    <t xml:space="preserve">https://www.ftdc.us/business-ops/tribal-member-business-directory/</t>
  </si>
  <si>
    <t xml:space="preserve">TBD-079</t>
  </si>
  <si>
    <t xml:space="preserve">Muscogee (Creek) Nation</t>
  </si>
  <si>
    <t xml:space="preserve">CESO Certified Vendor List</t>
  </si>
  <si>
    <t xml:space="preserve">Prefer direct XLSX download; PDF fallback</t>
  </si>
  <si>
    <t xml:space="preserve">XLSX and PDF linked from HTML</t>
  </si>
  <si>
    <t xml:space="preserve">Official Muscogee (Creek) Nation CESO</t>
  </si>
  <si>
    <t xml:space="preserve">https://www.muscogeenation.com/department-of-commerce/contracting-and-employment-support-office/</t>
  </si>
  <si>
    <t xml:space="preserve">TBD-030</t>
  </si>
  <si>
    <t xml:space="preserve">Tulalip Tribes</t>
  </si>
  <si>
    <t xml:space="preserve">Native American Owned Business Registry</t>
  </si>
  <si>
    <t xml:space="preserve">Direct export or structured HTML</t>
  </si>
  <si>
    <t xml:space="preserve">Searchable HTML plus CSV/TXT</t>
  </si>
  <si>
    <t xml:space="preserve">≈45</t>
  </si>
  <si>
    <t xml:space="preserve">Official Tulalip TERO</t>
  </si>
  <si>
    <t xml:space="preserve">https://www.tulaliptero.com/TEROReports/NAOBRegistryAllAll</t>
  </si>
  <si>
    <t xml:space="preserve">TBD-113</t>
  </si>
  <si>
    <t xml:space="preserve">White Earth Nation</t>
  </si>
  <si>
    <t xml:space="preserve">TERO Certified Indian-Owned Business Registry</t>
  </si>
  <si>
    <t xml:space="preserve">Obtained</t>
  </si>
  <si>
    <t xml:space="preserve">DOCX register + DOCX ordinance (owner-supplied)</t>
  </si>
  <si>
    <t xml:space="preserve">N/A - not scraped; supplied</t>
  </si>
  <si>
    <t xml:space="preserve">Semiannual re-ask (certifications expire on rolling dates)</t>
  </si>
  <si>
    <t xml:space="preserve">Official White Earth Nation TERO</t>
  </si>
  <si>
    <t xml:space="preserve">https://www.whiteearth.com/divisions/human-services/workforce-center</t>
  </si>
  <si>
    <t xml:space="preserve">TBD-173</t>
  </si>
  <si>
    <t xml:space="preserve">Fort Belknap Indian Community</t>
  </si>
  <si>
    <t xml:space="preserve">Fort Belknap Program and Enterprise Directory</t>
  </si>
  <si>
    <t xml:space="preserve">Tribal program and enterprise directory (recurring PDF)</t>
  </si>
  <si>
    <t xml:space="preserve">Stale</t>
  </si>
  <si>
    <t xml:space="preserve">PDF parse; watch ftbelknap.org for newer editions</t>
  </si>
  <si>
    <t xml:space="preserve">PDF directory (2023 edition)</t>
  </si>
  <si>
    <t xml:space="preserve">https://img1.wsimg.com/blobby/go/d94bfdb9-dd85-49bd-94c2-4822ef04bf3b/downloads/2023%20FBIC%20Directory.pdf?ver=1706816277538</t>
  </si>
  <si>
    <t xml:space="preserve">TBD-168</t>
  </si>
  <si>
    <t xml:space="preserve">Pokagon Band of Potawatomi Indians</t>
  </si>
  <si>
    <t xml:space="preserve">Tribal Owned Business &amp; Vendor Directory</t>
  </si>
  <si>
    <t xml:space="preserve">Tribal citizen business and vendor directory</t>
  </si>
  <si>
    <t xml:space="preserve">PDF table parse; check for newer editions</t>
  </si>
  <si>
    <t xml:space="preserve">PDF directory (2022 edition)</t>
  </si>
  <si>
    <t xml:space="preserve">Pokagon Band of Potawatomi Indians / Mno-Bmadsen</t>
  </si>
  <si>
    <t xml:space="preserve">https://www.pokagonband-nsn.gov/wp-content/uploads/2023/05/Tribal-Directory-2022-1.pdf</t>
  </si>
  <si>
    <t xml:space="preserve">TBD-083</t>
  </si>
  <si>
    <t xml:space="preserve">Menominee Indian Tribe community / Menominee Chamber of Commerce</t>
  </si>
  <si>
    <t xml:space="preserve">Cross-tribal or chamber directory</t>
  </si>
  <si>
    <t xml:space="preserve">Static HTML/PDF scrape</t>
  </si>
  <si>
    <t xml:space="preserve">HTML plus linked PDF</t>
  </si>
  <si>
    <t xml:space="preserve">Menominee Chamber of Commerce</t>
  </si>
  <si>
    <t xml:space="preserve">https://menomineechamberofcommerce.org/directory/</t>
  </si>
  <si>
    <t xml:space="preserve">TBD-139</t>
  </si>
  <si>
    <t xml:space="preserve">Osage Nation community / Osage News</t>
  </si>
  <si>
    <t xml:space="preserve">Osage News Holiday Gift Guide</t>
  </si>
  <si>
    <t xml:space="preserve">Member-owned annual directory</t>
  </si>
  <si>
    <t xml:space="preserve">Archive crawl by annual edition</t>
  </si>
  <si>
    <t xml:space="preserve">HTML article series</t>
  </si>
  <si>
    <t xml:space="preserve">Osage News, the Nation's official news organization</t>
  </si>
  <si>
    <t xml:space="preserve">https://osagenews.org/osage-news-holiday-gift-guide-2025/</t>
  </si>
  <si>
    <t xml:space="preserve">TBD-080</t>
  </si>
  <si>
    <t xml:space="preserve">Mississippi Band of Choctaw Indians</t>
  </si>
  <si>
    <t xml:space="preserve">MS</t>
  </si>
  <si>
    <t xml:space="preserve">Tribal Member Small Businesses Directory</t>
  </si>
  <si>
    <t xml:space="preserve">Download and parse PDF table</t>
  </si>
  <si>
    <t xml:space="preserve">Official Mississippi Choctaw economic-development program</t>
  </si>
  <si>
    <t xml:space="preserve">https://mschoctawbusiness.com/wp-content/uploads/2025/01/tribal-member-small-businesses-directory.pdf</t>
  </si>
  <si>
    <t xml:space="preserve">TBD-077</t>
  </si>
  <si>
    <t xml:space="preserve">Sisseton Wahpeton Oyate</t>
  </si>
  <si>
    <t xml:space="preserve">Approved Indian Preference Businesses</t>
  </si>
  <si>
    <t xml:space="preserve">About 45</t>
  </si>
  <si>
    <t xml:space="preserve">Official Sisseton Wahpeton Oyate TERO</t>
  </si>
  <si>
    <t xml:space="preserve">https://swo-nsn.gov/media/amhdcytc/tero-indian-preference-list-1-2025-1.pdf</t>
  </si>
  <si>
    <t xml:space="preserve">TBD-045</t>
  </si>
  <si>
    <t xml:space="preserve">Shoshone-Bannock Tribes</t>
  </si>
  <si>
    <t xml:space="preserve">TERO Certified Indian Preference Business Directory</t>
  </si>
  <si>
    <t xml:space="preserve">Resolve latest link; PDF parse</t>
  </si>
  <si>
    <t xml:space="preserve">https://www.sbtribes.com/tero/</t>
  </si>
  <si>
    <t xml:space="preserve">TBD-044</t>
  </si>
  <si>
    <t xml:space="preserve">Coeur d’Alene Tribe</t>
  </si>
  <si>
    <t xml:space="preserve">TERO Certified Business Directory</t>
  </si>
  <si>
    <t xml:space="preserve">https://www.cdatribe-nsn.gov/tero/</t>
  </si>
  <si>
    <t xml:space="preserve">TBD-031</t>
  </si>
  <si>
    <t xml:space="preserve">Lummi Nation</t>
  </si>
  <si>
    <t xml:space="preserve">Landing-page monitor plus file parse</t>
  </si>
  <si>
    <t xml:space="preserve">https://www.lummi-nsn.gov/node/Website.php?PageID=985</t>
  </si>
  <si>
    <t xml:space="preserve">TBD-006</t>
  </si>
  <si>
    <t xml:space="preserve">Leech Lake Band of Ojibwe</t>
  </si>
  <si>
    <t xml:space="preserve">Leech Lake Band Member Owned Businesses</t>
  </si>
  <si>
    <t xml:space="preserve">Static HTML list</t>
  </si>
  <si>
    <t xml:space="preserve">https://www.llojibwe.org/program_info/spotlight.html</t>
  </si>
  <si>
    <t xml:space="preserve">nation_id</t>
  </si>
  <si>
    <t xml:space="preserve">bia_name</t>
  </si>
  <si>
    <t xml:space="preserve">states</t>
  </si>
  <si>
    <t xml:space="preserve">review_outcome</t>
  </si>
  <si>
    <t xml:space="preserve">programs_found</t>
  </si>
  <si>
    <t xml:space="preserve">documented_negative_checks</t>
  </si>
  <si>
    <t xml:space="preserve">last_negative_check</t>
  </si>
  <si>
    <t xml:space="preserve">bia:absentee-shawnee</t>
  </si>
  <si>
    <t xml:space="preserve">Absentee-Shawnee Tribe of Indians of Oklahoma</t>
  </si>
  <si>
    <t xml:space="preserve">checked, no list found</t>
  </si>
  <si>
    <t xml:space="preserve">bia:agdaagux</t>
  </si>
  <si>
    <t xml:space="preserve">Agdaagux Tribe of King Cove</t>
  </si>
  <si>
    <t xml:space="preserve">bia:agua-caliente</t>
  </si>
  <si>
    <t xml:space="preserve">Agua Caliente Band of Cahuilla Indians of the Agua Caliente Indian Reservation, California</t>
  </si>
  <si>
    <t xml:space="preserve">bia:ak-chin</t>
  </si>
  <si>
    <t xml:space="preserve">Ak-Chin Indian Community</t>
  </si>
  <si>
    <t xml:space="preserve">bia:akiachak</t>
  </si>
  <si>
    <t xml:space="preserve">Akiachak Native Community</t>
  </si>
  <si>
    <t xml:space="preserve">bia:akiak</t>
  </si>
  <si>
    <t xml:space="preserve">Akiak Native Community</t>
  </si>
  <si>
    <t xml:space="preserve">bia:alabama-coushatta</t>
  </si>
  <si>
    <t xml:space="preserve">Alabama-Coushatta Tribe of Texas</t>
  </si>
  <si>
    <t xml:space="preserve">bia:alabama-quassarte</t>
  </si>
  <si>
    <t xml:space="preserve">Alabama-Quassarte Tribal Town</t>
  </si>
  <si>
    <t xml:space="preserve">bia:alatna</t>
  </si>
  <si>
    <t xml:space="preserve">Alatna Village</t>
  </si>
  <si>
    <t xml:space="preserve">bia:saint-paul</t>
  </si>
  <si>
    <t xml:space="preserve">Aleut Community of St. Paul Island</t>
  </si>
  <si>
    <t xml:space="preserve">bia:algaaciq</t>
  </si>
  <si>
    <t xml:space="preserve">Algaaciq Native Village (St. Mary’s)</t>
  </si>
  <si>
    <t xml:space="preserve">bia:allakaket</t>
  </si>
  <si>
    <t xml:space="preserve">Allakaket Village</t>
  </si>
  <si>
    <t xml:space="preserve">bia:alturas</t>
  </si>
  <si>
    <t xml:space="preserve">Alturas Indian Rancheria, California</t>
  </si>
  <si>
    <t xml:space="preserve">bia:old-harbor</t>
  </si>
  <si>
    <t xml:space="preserve">Alutiiq Tribe of Old Harbor</t>
  </si>
  <si>
    <t xml:space="preserve">bia:angoon</t>
  </si>
  <si>
    <t xml:space="preserve">Angoon Community Association</t>
  </si>
  <si>
    <t xml:space="preserve">bia:anvik</t>
  </si>
  <si>
    <t xml:space="preserve">Anvik Village</t>
  </si>
  <si>
    <t xml:space="preserve">bia:apache-tribe-oklahoma</t>
  </si>
  <si>
    <t xml:space="preserve">Apache Tribe of Oklahoma</t>
  </si>
  <si>
    <t xml:space="preserve">bia:asacarsarmiut</t>
  </si>
  <si>
    <t xml:space="preserve">Asa’carsarmiut Tribe</t>
  </si>
  <si>
    <t xml:space="preserve">bia:fort-peck</t>
  </si>
  <si>
    <t xml:space="preserve">Assiniboine and Sioux Tribes of the Fort Peck Indian Reservation, Montana</t>
  </si>
  <si>
    <t xml:space="preserve">list program(s) found</t>
  </si>
  <si>
    <t xml:space="preserve">bia:augustine</t>
  </si>
  <si>
    <t xml:space="preserve">Augustine Band of Cahuilla Indians, California</t>
  </si>
  <si>
    <t xml:space="preserve">bia:bad-river-chippewa</t>
  </si>
  <si>
    <t xml:space="preserve">Bad River Band of the Lake Superior Tribe of Chippewa Indians of the Bad River Reservation, Wisconsin</t>
  </si>
  <si>
    <t xml:space="preserve">bia:bay-mills</t>
  </si>
  <si>
    <t xml:space="preserve">Bay Mills Indian Community, Michigan</t>
  </si>
  <si>
    <t xml:space="preserve">bia:bear-river-rohnerville</t>
  </si>
  <si>
    <t xml:space="preserve">Bear River Band of the Rohnerville Rancheria, California</t>
  </si>
  <si>
    <t xml:space="preserve">bia:beaver</t>
  </si>
  <si>
    <t xml:space="preserve">Beaver Village</t>
  </si>
  <si>
    <t xml:space="preserve">bia:berry-creek</t>
  </si>
  <si>
    <t xml:space="preserve">Berry Creek Rancheria of Maidu Indians of California</t>
  </si>
  <si>
    <t xml:space="preserve">bia:big-lagoon</t>
  </si>
  <si>
    <t xml:space="preserve">Big Lagoon Rancheria, California</t>
  </si>
  <si>
    <t xml:space="preserve">bia:big-pine-paiute</t>
  </si>
  <si>
    <t xml:space="preserve">Big Pine Paiute Tribe of the Owens Valley</t>
  </si>
  <si>
    <t xml:space="preserve">bia:big-sandy</t>
  </si>
  <si>
    <t xml:space="preserve">Big Sandy Rancheria of Western Mono Indians of California</t>
  </si>
  <si>
    <t xml:space="preserve">bia:big-valley-pomo</t>
  </si>
  <si>
    <t xml:space="preserve">Big Valley Band of Pomo Indians of the Big Valley Rancheria, California</t>
  </si>
  <si>
    <t xml:space="preserve">bia:birch-creek</t>
  </si>
  <si>
    <t xml:space="preserve">Birch Creek Tribe</t>
  </si>
  <si>
    <t xml:space="preserve">bia:bishop-paiute</t>
  </si>
  <si>
    <t xml:space="preserve">bia:blackfeet</t>
  </si>
  <si>
    <t xml:space="preserve">Blackfeet Tribe of the Blackfeet Indian Reservation of Montana</t>
  </si>
  <si>
    <t xml:space="preserve">bia:blue-lake-rancheria</t>
  </si>
  <si>
    <t xml:space="preserve">Blue Lake Rancheria, California</t>
  </si>
  <si>
    <t xml:space="preserve">bia:bridgeport-colony</t>
  </si>
  <si>
    <t xml:space="preserve">Bridgeport Indian Colony</t>
  </si>
  <si>
    <t xml:space="preserve">bia:buena-vista</t>
  </si>
  <si>
    <t xml:space="preserve">Buena Vista Rancheria of Me-Wuk Indians of California</t>
  </si>
  <si>
    <t xml:space="preserve">bia:burns-paiute</t>
  </si>
  <si>
    <t xml:space="preserve">Burns Paiute Tribe</t>
  </si>
  <si>
    <t xml:space="preserve">bia:cabazon</t>
  </si>
  <si>
    <t xml:space="preserve">Cabazon Band of Cahuilla Indians</t>
  </si>
  <si>
    <t xml:space="preserve">bia:cachil-dehe</t>
  </si>
  <si>
    <t xml:space="preserve">Cachil DeHe Band of Wintun Indians of the Colusa Indian Community of the Colusa Rancheria, California</t>
  </si>
  <si>
    <t xml:space="preserve">bia:caddo</t>
  </si>
  <si>
    <t xml:space="preserve">Caddo Nation of Oklahoma</t>
  </si>
  <si>
    <t xml:space="preserve">bia:cahto</t>
  </si>
  <si>
    <t xml:space="preserve">Cahto Tribe of the Laytonville Rancheria</t>
  </si>
  <si>
    <t xml:space="preserve">bia:cahuilla-band</t>
  </si>
  <si>
    <t xml:space="preserve">Cahuilla Band of Indians</t>
  </si>
  <si>
    <t xml:space="preserve">bia:california-valley-miwok</t>
  </si>
  <si>
    <t xml:space="preserve">California Valley Miwok Tribe, California</t>
  </si>
  <si>
    <t xml:space="preserve">bia:campo</t>
  </si>
  <si>
    <t xml:space="preserve">Campo Band of Diegueno Mission Indians of the Campo Indian Reservation, California</t>
  </si>
  <si>
    <t xml:space="preserve">bia:barona</t>
  </si>
  <si>
    <t xml:space="preserve">Capitan Grande Band of Diegueno Mission Indians of California (Barona Group of Capitan Grande Band of Mission Indians of the Barona Reservation, California; Viejas (Baron Long) Group of Capitan Grande Band of Mission Indians of the Viejas Reservation, California)</t>
  </si>
  <si>
    <t xml:space="preserve">bia:catawba</t>
  </si>
  <si>
    <t xml:space="preserve">Catawba Indian Nation</t>
  </si>
  <si>
    <t xml:space="preserve">bia:cayuga</t>
  </si>
  <si>
    <t xml:space="preserve">Cayuga Nation</t>
  </si>
  <si>
    <t xml:space="preserve">bia:cedarville</t>
  </si>
  <si>
    <t xml:space="preserve">Cedarville Rancheria, California</t>
  </si>
  <si>
    <t xml:space="preserve">bia:tlingit-haida</t>
  </si>
  <si>
    <t xml:space="preserve">Central Council of the Tlingit &amp; Haida Indian Tribes</t>
  </si>
  <si>
    <t xml:space="preserve">bia:chalkyitsik</t>
  </si>
  <si>
    <t xml:space="preserve">Chalkyitsik Village</t>
  </si>
  <si>
    <t xml:space="preserve">bia:cheesh-na</t>
  </si>
  <si>
    <t xml:space="preserve">Cheesh-Na Tribe</t>
  </si>
  <si>
    <t xml:space="preserve">bia:chemehuevi</t>
  </si>
  <si>
    <t xml:space="preserve">Chemehuevi Indian Tribe of the Chemehuevi Reservation, California</t>
  </si>
  <si>
    <t xml:space="preserve">bia:cher-ae-heights</t>
  </si>
  <si>
    <t xml:space="preserve">Cher-Ae Heights Indian Community of the Trinidad Rancheria, California</t>
  </si>
  <si>
    <t xml:space="preserve">bia:cherokee-nation</t>
  </si>
  <si>
    <t xml:space="preserve">bia:chevak</t>
  </si>
  <si>
    <t xml:space="preserve">Chevak Native Village</t>
  </si>
  <si>
    <t xml:space="preserve">bia:cheyenne-river-sioux</t>
  </si>
  <si>
    <t xml:space="preserve">Cheyenne River Sioux Tribe of the Cheyenne River Reservation, South Dakota</t>
  </si>
  <si>
    <t xml:space="preserve">bia:cheyenne-and-arapaho</t>
  </si>
  <si>
    <t xml:space="preserve">Cheyenne and Arapaho Tribes, Oklahoma</t>
  </si>
  <si>
    <t xml:space="preserve">bia:chickahominy</t>
  </si>
  <si>
    <t xml:space="preserve">Chickahominy Indian Tribe</t>
  </si>
  <si>
    <t xml:space="preserve">bia:chickahominy-eastern</t>
  </si>
  <si>
    <t xml:space="preserve">Chickahominy Indian Tribe—Eastern Division</t>
  </si>
  <si>
    <t xml:space="preserve">bia:chickaloon</t>
  </si>
  <si>
    <t xml:space="preserve">Chickaloon Native Village</t>
  </si>
  <si>
    <t xml:space="preserve">bia:chicken-ranch</t>
  </si>
  <si>
    <t xml:space="preserve">Chicken Ranch Rancheria of Me-Wuk Indians of California</t>
  </si>
  <si>
    <t xml:space="preserve">bia:chignik-bay</t>
  </si>
  <si>
    <t xml:space="preserve">Chignik Bay Tribal Council</t>
  </si>
  <si>
    <t xml:space="preserve">bia:chignik-lake</t>
  </si>
  <si>
    <t xml:space="preserve">Chignik Lake Village</t>
  </si>
  <si>
    <t xml:space="preserve">bia:chilkat-klukwan</t>
  </si>
  <si>
    <t xml:space="preserve">Chilkat Indian Village (Klukwan)</t>
  </si>
  <si>
    <t xml:space="preserve">bia:chilkoot-haines</t>
  </si>
  <si>
    <t xml:space="preserve">Chilkoot Indian Association (Haines)</t>
  </si>
  <si>
    <t xml:space="preserve">bia:chinik</t>
  </si>
  <si>
    <t xml:space="preserve">Chinik Eskimo Community (Golovin)</t>
  </si>
  <si>
    <t xml:space="preserve">bia:chippewa-cree</t>
  </si>
  <si>
    <t xml:space="preserve">Chippewa Cree Indians of the Rocky Boy’s Reservation, Montana</t>
  </si>
  <si>
    <t xml:space="preserve">bia:chitimacha</t>
  </si>
  <si>
    <t xml:space="preserve">Chitimacha Tribe of Louisiana</t>
  </si>
  <si>
    <t xml:space="preserve">LA</t>
  </si>
  <si>
    <t xml:space="preserve">bia:chuloonawick</t>
  </si>
  <si>
    <t xml:space="preserve">Chuloonawick Native Village</t>
  </si>
  <si>
    <t xml:space="preserve">bia:circle</t>
  </si>
  <si>
    <t xml:space="preserve">Circle Native Community</t>
  </si>
  <si>
    <t xml:space="preserve">bia:citizen-potawatomi</t>
  </si>
  <si>
    <t xml:space="preserve">Citizen Potawatomi Nation, Oklahoma</t>
  </si>
  <si>
    <t xml:space="preserve">bia:cloverdale</t>
  </si>
  <si>
    <t xml:space="preserve">Cloverdale Rancheria of Pomo Indians of California</t>
  </si>
  <si>
    <t xml:space="preserve">bia:cocopah</t>
  </si>
  <si>
    <t xml:space="preserve">Cocopah Tribe of Arizona</t>
  </si>
  <si>
    <t xml:space="preserve">bia:coeur-dalene</t>
  </si>
  <si>
    <t xml:space="preserve">Coeur D’Alene Tribe</t>
  </si>
  <si>
    <t xml:space="preserve">bia:cold-springs</t>
  </si>
  <si>
    <t xml:space="preserve">Cold Springs Rancheria of Mono Indians of California</t>
  </si>
  <si>
    <t xml:space="preserve">bia:colorado-river-indian-tribes</t>
  </si>
  <si>
    <t xml:space="preserve">Colorado River Indian Tribes of the Colorado River Indian Reservation, Arizona and California</t>
  </si>
  <si>
    <t xml:space="preserve">AZ; CA</t>
  </si>
  <si>
    <t xml:space="preserve">bia:comanche</t>
  </si>
  <si>
    <t xml:space="preserve">Comanche Nation, Oklahoma</t>
  </si>
  <si>
    <t xml:space="preserve">bia:salish-kootenai</t>
  </si>
  <si>
    <t xml:space="preserve">Confederated Salish and Kootenai Tribes of the Flathead Reservation</t>
  </si>
  <si>
    <t xml:space="preserve">bia:yakama</t>
  </si>
  <si>
    <t xml:space="preserve">Confederated Tribes and Bands of the Yakama Nation</t>
  </si>
  <si>
    <t xml:space="preserve">bia:siletz</t>
  </si>
  <si>
    <t xml:space="preserve">Confederated Tribes of Siletz Indians of Oregon</t>
  </si>
  <si>
    <t xml:space="preserve">bia:chehalis</t>
  </si>
  <si>
    <t xml:space="preserve">bia:colville</t>
  </si>
  <si>
    <t xml:space="preserve">bia:coos-lower-umpqua-siuslaw</t>
  </si>
  <si>
    <t xml:space="preserve">Confederated Tribes of the Coos, Lower Umpqua and Siuslaw Indians</t>
  </si>
  <si>
    <t xml:space="preserve">bia:goshute</t>
  </si>
  <si>
    <t xml:space="preserve">Confederated Tribes of the Goshute Reservation, Nevada and Utah</t>
  </si>
  <si>
    <t xml:space="preserve">NV; UT</t>
  </si>
  <si>
    <t xml:space="preserve">bia:grand-ronde</t>
  </si>
  <si>
    <t xml:space="preserve">Confederated Tribes of the Grand Ronde Community of Oregon</t>
  </si>
  <si>
    <t xml:space="preserve">bia:umatilla</t>
  </si>
  <si>
    <t xml:space="preserve">bia:warm-springs</t>
  </si>
  <si>
    <t xml:space="preserve">Confederated Tribes of the Warm Springs Reservation of Oregon</t>
  </si>
  <si>
    <t xml:space="preserve">bia:coquille</t>
  </si>
  <si>
    <t xml:space="preserve">Coquille Indian Tribe</t>
  </si>
  <si>
    <t xml:space="preserve">bia:coushatta-louisiana</t>
  </si>
  <si>
    <t xml:space="preserve">Coushatta Tribe of Louisiana</t>
  </si>
  <si>
    <t xml:space="preserve">bia:cow-creek</t>
  </si>
  <si>
    <t xml:space="preserve">Cow Creek Band of Umpqua Tribe of Indians</t>
  </si>
  <si>
    <t xml:space="preserve">bia:cowlitz</t>
  </si>
  <si>
    <t xml:space="preserve">bia:coyote-valley</t>
  </si>
  <si>
    <t xml:space="preserve">Coyote Valley Band of Pomo Indians of California</t>
  </si>
  <si>
    <t xml:space="preserve">bia:craig-tribal-association</t>
  </si>
  <si>
    <t xml:space="preserve">Craig Tribal Association</t>
  </si>
  <si>
    <t xml:space="preserve">bia:crow-creek-sioux</t>
  </si>
  <si>
    <t xml:space="preserve">Crow Creek Sioux Tribe of the Crow Creek Reservation, South Dakota</t>
  </si>
  <si>
    <t xml:space="preserve">bia:crow-tribe</t>
  </si>
  <si>
    <t xml:space="preserve">Crow Tribe of Montana</t>
  </si>
  <si>
    <t xml:space="preserve">bia:curyung</t>
  </si>
  <si>
    <t xml:space="preserve">Curyung Tribal Council</t>
  </si>
  <si>
    <t xml:space="preserve">bia:delaware-nation</t>
  </si>
  <si>
    <t xml:space="preserve">Delaware Nation, Oklahoma</t>
  </si>
  <si>
    <t xml:space="preserve">bia:delaware-tribe</t>
  </si>
  <si>
    <t xml:space="preserve">Delaware Tribe of Indians</t>
  </si>
  <si>
    <t xml:space="preserve">bia:douglas-indian-association</t>
  </si>
  <si>
    <t xml:space="preserve">Douglas Indian Association</t>
  </si>
  <si>
    <t xml:space="preserve">bia:dry-creek</t>
  </si>
  <si>
    <t xml:space="preserve">Dry Creek Rancheria Band of Pomo Indians, California</t>
  </si>
  <si>
    <t xml:space="preserve">bia:duckwater</t>
  </si>
  <si>
    <t xml:space="preserve">Duckwater Shoshone Tribe</t>
  </si>
  <si>
    <t xml:space="preserve">bia:eastern-band-cherokee</t>
  </si>
  <si>
    <t xml:space="preserve">bia:eastern-shawnee</t>
  </si>
  <si>
    <t xml:space="preserve">Eastern Shawnee Tribe of Oklahoma</t>
  </si>
  <si>
    <t xml:space="preserve">bia:eastern-shoshone</t>
  </si>
  <si>
    <t xml:space="preserve">Eastern Shoshone Tribe of the Wind River Reservation, Wyoming</t>
  </si>
  <si>
    <t xml:space="preserve">bia:egegik</t>
  </si>
  <si>
    <t xml:space="preserve">Egegik Village</t>
  </si>
  <si>
    <t xml:space="preserve">bia:eklutna</t>
  </si>
  <si>
    <t xml:space="preserve">Eklutna Native Village</t>
  </si>
  <si>
    <t xml:space="preserve">bia:elem</t>
  </si>
  <si>
    <t xml:space="preserve">Elem Indian Colony of Pomo Indians of the Sulphur Bank Rancheria, California</t>
  </si>
  <si>
    <t xml:space="preserve">bia:elk-valley</t>
  </si>
  <si>
    <t xml:space="preserve">Elk Valley Rancheria, California</t>
  </si>
  <si>
    <t xml:space="preserve">bia:ely-shoshone</t>
  </si>
  <si>
    <t xml:space="preserve">Ely Shoshone Tribe of Nevada</t>
  </si>
  <si>
    <t xml:space="preserve">bia:emmonak</t>
  </si>
  <si>
    <t xml:space="preserve">Emmonak Village</t>
  </si>
  <si>
    <t xml:space="preserve">bia:enterprise-rancheria</t>
  </si>
  <si>
    <t xml:space="preserve">Enterprise Rancheria of Maidu Indians of California</t>
  </si>
  <si>
    <t xml:space="preserve">bia:evansville</t>
  </si>
  <si>
    <t xml:space="preserve">Evansville Village (aka Bettles Field)</t>
  </si>
  <si>
    <t xml:space="preserve">bia:ewiiaapaayp</t>
  </si>
  <si>
    <t xml:space="preserve">Ewiiaapaayp Band of Kumeyaay Indians</t>
  </si>
  <si>
    <t xml:space="preserve">bia:graton</t>
  </si>
  <si>
    <t xml:space="preserve">Federated Indians of Graton Rancheria, California</t>
  </si>
  <si>
    <t xml:space="preserve">bia:flandreau-santee-sioux</t>
  </si>
  <si>
    <t xml:space="preserve">Flandreau Santee Sioux Tribe of South Dakota</t>
  </si>
  <si>
    <t xml:space="preserve">bia:forest-county-potawatomi</t>
  </si>
  <si>
    <t xml:space="preserve">Forest County Potawatomi Community, Wisconsin</t>
  </si>
  <si>
    <t xml:space="preserve">bia:fort-belknap</t>
  </si>
  <si>
    <t xml:space="preserve">Fort Belknap Indian Community of the Fort Belknap Reservation of Montana</t>
  </si>
  <si>
    <t xml:space="preserve">bia:fort-bidwell</t>
  </si>
  <si>
    <t xml:space="preserve">Fort Bidwell Indian Community of the Fort Bidwell Reservation of California</t>
  </si>
  <si>
    <t xml:space="preserve">bia:fort-independence</t>
  </si>
  <si>
    <t xml:space="preserve">Fort Independence Indian Community of Paiute Indians of the Fort Independence Reservation, California</t>
  </si>
  <si>
    <t xml:space="preserve">bia:fort-mcdermitt</t>
  </si>
  <si>
    <t xml:space="preserve">Fort McDermitt Paiute and Shoshone Tribes of the Fort McDermitt Indian Reservation, Nevada and Oregon</t>
  </si>
  <si>
    <t xml:space="preserve">NV; OR</t>
  </si>
  <si>
    <t xml:space="preserve">bia:fort-mcdowell-yavapai</t>
  </si>
  <si>
    <t xml:space="preserve">Fort McDowell Yavapai Nation, Arizona</t>
  </si>
  <si>
    <t xml:space="preserve">bia:fort-mojave</t>
  </si>
  <si>
    <t xml:space="preserve">Fort Mojave Indian Tribe of Arizona, California &amp; Nevada</t>
  </si>
  <si>
    <t xml:space="preserve">AZ; CA; NV</t>
  </si>
  <si>
    <t xml:space="preserve">bia:fort-sill-apache</t>
  </si>
  <si>
    <t xml:space="preserve">Fort Sill—Chiricahua—Warm Springs—Apache Tribe</t>
  </si>
  <si>
    <t xml:space="preserve">bia:gila-river</t>
  </si>
  <si>
    <t xml:space="preserve">Gila River Indian Community of the Gila River Indian Reservation, Arizona</t>
  </si>
  <si>
    <t xml:space="preserve">bia:grand-traverse-band</t>
  </si>
  <si>
    <t xml:space="preserve">Grand Traverse Band of Ottawa and Chippewa Indians, Michigan</t>
  </si>
  <si>
    <t xml:space="preserve">bia:greenville</t>
  </si>
  <si>
    <t xml:space="preserve">Greenville Rancheria</t>
  </si>
  <si>
    <t xml:space="preserve">bia:grindstone</t>
  </si>
  <si>
    <t xml:space="preserve">Grindstone Indian Rancheria of Wintun-Wailaki Indians of California</t>
  </si>
  <si>
    <t xml:space="preserve">bia:guidiville</t>
  </si>
  <si>
    <t xml:space="preserve">Guidiville Rancheria of California</t>
  </si>
  <si>
    <t xml:space="preserve">bia:gulkana</t>
  </si>
  <si>
    <t xml:space="preserve">Gulkana Village Council</t>
  </si>
  <si>
    <t xml:space="preserve">bia:habematolel</t>
  </si>
  <si>
    <t xml:space="preserve">Habematolel Pomo of Upper Lake, California</t>
  </si>
  <si>
    <t xml:space="preserve">bia:hannahville</t>
  </si>
  <si>
    <t xml:space="preserve">Hannahville Indian Community, Michigan</t>
  </si>
  <si>
    <t xml:space="preserve">bia:havasupai</t>
  </si>
  <si>
    <t xml:space="preserve">Havasupai Tribe of the Havasupai Reservation, Arizona</t>
  </si>
  <si>
    <t xml:space="preserve">bia:healy-lake</t>
  </si>
  <si>
    <t xml:space="preserve">Healy Lake Village</t>
  </si>
  <si>
    <t xml:space="preserve">bia:ho-chunk</t>
  </si>
  <si>
    <t xml:space="preserve">Ho-Chunk Nation of Wisconsin</t>
  </si>
  <si>
    <t xml:space="preserve">bia:hoh</t>
  </si>
  <si>
    <t xml:space="preserve">Hoh Indian Tribe</t>
  </si>
  <si>
    <t xml:space="preserve">bia:holy-cross</t>
  </si>
  <si>
    <t xml:space="preserve">Holy Cross Tribe</t>
  </si>
  <si>
    <t xml:space="preserve">bia:hoonah</t>
  </si>
  <si>
    <t xml:space="preserve">bia:hoopa-valley</t>
  </si>
  <si>
    <t xml:space="preserve">Hoopa Valley Tribe, California</t>
  </si>
  <si>
    <t xml:space="preserve">bia:hopi</t>
  </si>
  <si>
    <t xml:space="preserve">Hopi Tribe of Arizona</t>
  </si>
  <si>
    <t xml:space="preserve">bia:hopland</t>
  </si>
  <si>
    <t xml:space="preserve">Hopland Band of Pomo Indians, California</t>
  </si>
  <si>
    <t xml:space="preserve">bia:houlton-maliseet</t>
  </si>
  <si>
    <t xml:space="preserve">bia:hualapai</t>
  </si>
  <si>
    <t xml:space="preserve">Hualapai Indian Tribe of the Hualapai Indian Reservation, Arizona</t>
  </si>
  <si>
    <t xml:space="preserve">bia:hughes</t>
  </si>
  <si>
    <t xml:space="preserve">Hughes Village</t>
  </si>
  <si>
    <t xml:space="preserve">bia:huslia</t>
  </si>
  <si>
    <t xml:space="preserve">Huslia Village</t>
  </si>
  <si>
    <t xml:space="preserve">bia:hydaburg</t>
  </si>
  <si>
    <t xml:space="preserve">Hydaburg Cooperative Association</t>
  </si>
  <si>
    <t xml:space="preserve">bia:igiugig</t>
  </si>
  <si>
    <t xml:space="preserve">Igiugig Village</t>
  </si>
  <si>
    <t xml:space="preserve">bia:santa-ysabel</t>
  </si>
  <si>
    <t xml:space="preserve">Iipay Nation of Santa Ysabel, California</t>
  </si>
  <si>
    <t xml:space="preserve">bia:inaja</t>
  </si>
  <si>
    <t xml:space="preserve">Inaja Band of Diegueno Mission Indians of the Inaja and Cosmit Reservation, California</t>
  </si>
  <si>
    <t xml:space="preserve">bia:inupiat-arctic-slope</t>
  </si>
  <si>
    <t xml:space="preserve">Inupiat Community of the Arctic Slope</t>
  </si>
  <si>
    <t xml:space="preserve">bia:ione</t>
  </si>
  <si>
    <t xml:space="preserve">Ione Band of Miwok Indians of California</t>
  </si>
  <si>
    <t xml:space="preserve">bia:iowa-kansas-nebraska</t>
  </si>
  <si>
    <t xml:space="preserve">Iowa Tribe of Kansas and Nebraska</t>
  </si>
  <si>
    <t xml:space="preserve">KS; NE</t>
  </si>
  <si>
    <t xml:space="preserve">bia:iowa-tribe-oklahoma</t>
  </si>
  <si>
    <t xml:space="preserve">Iowa Tribe of Oklahoma</t>
  </si>
  <si>
    <t xml:space="preserve">bia:iqurmiut</t>
  </si>
  <si>
    <t xml:space="preserve">Iqugmiut Traditional Council</t>
  </si>
  <si>
    <t xml:space="preserve">bia:ivanof-bay</t>
  </si>
  <si>
    <t xml:space="preserve">Ivanof Bay Tribe</t>
  </si>
  <si>
    <t xml:space="preserve">bia:jackson-rancheria</t>
  </si>
  <si>
    <t xml:space="preserve">Jackson Band of Miwuk Indians</t>
  </si>
  <si>
    <t xml:space="preserve">bia:jamestown-sklallam</t>
  </si>
  <si>
    <t xml:space="preserve">Jamestown S’Klallam Tribe</t>
  </si>
  <si>
    <t xml:space="preserve">bia:jamul</t>
  </si>
  <si>
    <t xml:space="preserve">Jamul Indian Village of California</t>
  </si>
  <si>
    <t xml:space="preserve">bia:jena-choctaw</t>
  </si>
  <si>
    <t xml:space="preserve">Jena Band of Choctaw Indians</t>
  </si>
  <si>
    <t xml:space="preserve">bia:jicarilla-apache</t>
  </si>
  <si>
    <t xml:space="preserve">Jicarilla Apache Nation, New Mexico</t>
  </si>
  <si>
    <t xml:space="preserve">bia:kaguyak</t>
  </si>
  <si>
    <t xml:space="preserve">Kaguyak Village</t>
  </si>
  <si>
    <t xml:space="preserve">bia:kaibab-paiute</t>
  </si>
  <si>
    <t xml:space="preserve">Kaibab Band of Paiute Indians of the Kaibab Indian Reservation, Arizona</t>
  </si>
  <si>
    <t xml:space="preserve">bia:kaktovik</t>
  </si>
  <si>
    <t xml:space="preserve">Kaktovik Village (aka Barter Island)</t>
  </si>
  <si>
    <t xml:space="preserve">bia:kalispel</t>
  </si>
  <si>
    <t xml:space="preserve">Kalispel Indian Community of the Kalispel Reservation</t>
  </si>
  <si>
    <t xml:space="preserve">bia:karuk</t>
  </si>
  <si>
    <t xml:space="preserve">bia:kashia</t>
  </si>
  <si>
    <t xml:space="preserve">Kashia Band of Pomo Indians of the Stewarts Point Rancheria, California</t>
  </si>
  <si>
    <t xml:space="preserve">bia:kasigluk</t>
  </si>
  <si>
    <t xml:space="preserve">Kasigluk Traditional Elders Council</t>
  </si>
  <si>
    <t xml:space="preserve">bia:kaw-nation</t>
  </si>
  <si>
    <t xml:space="preserve">Kaw Nation, Oklahoma</t>
  </si>
  <si>
    <t xml:space="preserve">bia:kenaitze</t>
  </si>
  <si>
    <t xml:space="preserve">bia:ketchikan-indian-community</t>
  </si>
  <si>
    <t xml:space="preserve">Ketchikan Indian Community</t>
  </si>
  <si>
    <t xml:space="preserve">bia:keweenaw-bay</t>
  </si>
  <si>
    <t xml:space="preserve">Keweenaw Bay Indian Community, Michigan</t>
  </si>
  <si>
    <t xml:space="preserve">bia:kialegee</t>
  </si>
  <si>
    <t xml:space="preserve">Kialegee Tribal Town</t>
  </si>
  <si>
    <t xml:space="preserve">bia:kickapoo-texas</t>
  </si>
  <si>
    <t xml:space="preserve">Kickapoo Traditional Tribe of Texas</t>
  </si>
  <si>
    <t xml:space="preserve">bia:kickapoo-kansas</t>
  </si>
  <si>
    <t xml:space="preserve">Kickapoo Tribe of Indians of the Kickapoo Reservation in Kansas</t>
  </si>
  <si>
    <t xml:space="preserve">KS</t>
  </si>
  <si>
    <t xml:space="preserve">bia:kickapoo-oklahoma</t>
  </si>
  <si>
    <t xml:space="preserve">Kickapoo Tribe of Oklahoma</t>
  </si>
  <si>
    <t xml:space="preserve">bia:king-island</t>
  </si>
  <si>
    <t xml:space="preserve">King Island Native Community</t>
  </si>
  <si>
    <t xml:space="preserve">bia:king-salmon</t>
  </si>
  <si>
    <t xml:space="preserve">King Salmon Tribe</t>
  </si>
  <si>
    <t xml:space="preserve">bia:kiowa</t>
  </si>
  <si>
    <t xml:space="preserve">bia:klamath</t>
  </si>
  <si>
    <t xml:space="preserve">bia:klawock</t>
  </si>
  <si>
    <t xml:space="preserve">Klawock Cooperative Association</t>
  </si>
  <si>
    <t xml:space="preserve">bia:kletsel-dehe</t>
  </si>
  <si>
    <t xml:space="preserve">Kletsel Dehe Wintun Nation of the Cortina Rancheria</t>
  </si>
  <si>
    <t xml:space="preserve">bia:knik</t>
  </si>
  <si>
    <t xml:space="preserve">Knik Tribe</t>
  </si>
  <si>
    <t xml:space="preserve">bia:koi-nation</t>
  </si>
  <si>
    <t xml:space="preserve">Koi Nation of Northern California</t>
  </si>
  <si>
    <t xml:space="preserve">bia:kokhanok</t>
  </si>
  <si>
    <t xml:space="preserve">Kokhanok Village</t>
  </si>
  <si>
    <t xml:space="preserve">bia:kootenai-idaho</t>
  </si>
  <si>
    <t xml:space="preserve">Kootenai Tribe of Idaho</t>
  </si>
  <si>
    <t xml:space="preserve">bia:koyukuk</t>
  </si>
  <si>
    <t xml:space="preserve">Koyukuk Native Village</t>
  </si>
  <si>
    <t xml:space="preserve">bia:la-jolla</t>
  </si>
  <si>
    <t xml:space="preserve">La Jolla Band of Luiseno Indians, California</t>
  </si>
  <si>
    <t xml:space="preserve">bia:la-posta</t>
  </si>
  <si>
    <t xml:space="preserve">La Posta Band of Diegueno Mission Indians of the La Posta Indian Reservation, California</t>
  </si>
  <si>
    <t xml:space="preserve">bia:lac-courte-oreilles</t>
  </si>
  <si>
    <t xml:space="preserve">Lac Courte Oreilles Band of Lake Superior Chippewa Indians of Wisconsin</t>
  </si>
  <si>
    <t xml:space="preserve">bia:lac-vieux-desert</t>
  </si>
  <si>
    <t xml:space="preserve">Lac Vieux Desert Band of Lake Superior Chippewa Indians of Michigan</t>
  </si>
  <si>
    <t xml:space="preserve">bia:lac-du-flambeau</t>
  </si>
  <si>
    <t xml:space="preserve">Lac du Flambeau Band of Lake Superior Chippewa Indians of the Lac du Flambeau Reservation of Wisconsin</t>
  </si>
  <si>
    <t xml:space="preserve">bia:las-vegas-paiute</t>
  </si>
  <si>
    <t xml:space="preserve">Las Vegas Tribe of Paiute Indians of the Las Vegas Indian Colony, Nevada</t>
  </si>
  <si>
    <t xml:space="preserve">bia:levelock</t>
  </si>
  <si>
    <t xml:space="preserve">Levelock Village</t>
  </si>
  <si>
    <t xml:space="preserve">bia:lime-village</t>
  </si>
  <si>
    <t xml:space="preserve">Lime Village</t>
  </si>
  <si>
    <t xml:space="preserve">bia:little-river-ottawa</t>
  </si>
  <si>
    <t xml:space="preserve">Little River Band of Ottawa Indians, Michigan</t>
  </si>
  <si>
    <t xml:space="preserve">bia:little-shell</t>
  </si>
  <si>
    <t xml:space="preserve">Little Shell Tribe of Chippewa Indians of Montana</t>
  </si>
  <si>
    <t xml:space="preserve">bia:little-traverse-bay-bands</t>
  </si>
  <si>
    <t xml:space="preserve">Little Traverse Bay Bands of Odawa Indians, Michigan</t>
  </si>
  <si>
    <t xml:space="preserve">bia:lone-pine</t>
  </si>
  <si>
    <t xml:space="preserve">Lone Pine Paiute-Shoshone Tribe</t>
  </si>
  <si>
    <t xml:space="preserve">bia:los-coyotes</t>
  </si>
  <si>
    <t xml:space="preserve">Los Coyotes Band of Cahuilla and Cupeno Indians, California</t>
  </si>
  <si>
    <t xml:space="preserve">bia:louden</t>
  </si>
  <si>
    <t xml:space="preserve">Louden Tribe</t>
  </si>
  <si>
    <t xml:space="preserve">bia:lovelock</t>
  </si>
  <si>
    <t xml:space="preserve">Lovelock Paiute Tribe of the Lovelock Indian Colony, Nevada</t>
  </si>
  <si>
    <t xml:space="preserve">bia:lower-brule</t>
  </si>
  <si>
    <t xml:space="preserve">Lower Brule Sioux Tribe of the Lower Brule Reservation, South Dakota</t>
  </si>
  <si>
    <t xml:space="preserve">bia:lower-elwha</t>
  </si>
  <si>
    <t xml:space="preserve">Lower Elwha Tribal Community</t>
  </si>
  <si>
    <t xml:space="preserve">bia:lower-sioux</t>
  </si>
  <si>
    <t xml:space="preserve">Lower Sioux Indian Community in the State of Minnesota</t>
  </si>
  <si>
    <t xml:space="preserve">bia:lumbee</t>
  </si>
  <si>
    <t xml:space="preserve">bia:lummi</t>
  </si>
  <si>
    <t xml:space="preserve">Lummi Tribe of the Lummi Reservation</t>
  </si>
  <si>
    <t xml:space="preserve">bia:lytton</t>
  </si>
  <si>
    <t xml:space="preserve">Lytton Rancheria of California</t>
  </si>
  <si>
    <t xml:space="preserve">bia:makah</t>
  </si>
  <si>
    <t xml:space="preserve">Makah Indian Tribe of the Makah Indian Reservation</t>
  </si>
  <si>
    <t xml:space="preserve">bia:manchester-point-arena</t>
  </si>
  <si>
    <t xml:space="preserve">Manchester Band of Pomo Indians of the Manchester Rancheria, California</t>
  </si>
  <si>
    <t xml:space="preserve">bia:manley-hot-springs</t>
  </si>
  <si>
    <t xml:space="preserve">Manley Hot Springs Village</t>
  </si>
  <si>
    <t xml:space="preserve">bia:manokotak</t>
  </si>
  <si>
    <t xml:space="preserve">Manokotak Village</t>
  </si>
  <si>
    <t xml:space="preserve">bia:manzanita</t>
  </si>
  <si>
    <t xml:space="preserve">Manzanita Band of Diegueno Mission Indians of the Manzanita Reservation, California</t>
  </si>
  <si>
    <t xml:space="preserve">bia:mashantucket-pequot</t>
  </si>
  <si>
    <t xml:space="preserve">Mashantucket Pequot Indian Tribe</t>
  </si>
  <si>
    <t xml:space="preserve">bia:mashpee-wampanoag</t>
  </si>
  <si>
    <t xml:space="preserve">bia:gun-lake</t>
  </si>
  <si>
    <t xml:space="preserve">Match-E-Be-Nash-She-Wish Band of Pottawatomi</t>
  </si>
  <si>
    <t xml:space="preserve">bia:mcgrath</t>
  </si>
  <si>
    <t xml:space="preserve">McGrath Native Village</t>
  </si>
  <si>
    <t xml:space="preserve">bia:mechoopda</t>
  </si>
  <si>
    <t xml:space="preserve">Mechoopda Indian Tribe of Chico Rancheria, California</t>
  </si>
  <si>
    <t xml:space="preserve">bia:menominee</t>
  </si>
  <si>
    <t xml:space="preserve">bia:mentasta</t>
  </si>
  <si>
    <t xml:space="preserve">Mentasta Traditional Council</t>
  </si>
  <si>
    <t xml:space="preserve">bia:mesa-grande</t>
  </si>
  <si>
    <t xml:space="preserve">Mesa Grande Band of Diegueno Mission Indians of the Mesa Grande Reservation, California</t>
  </si>
  <si>
    <t xml:space="preserve">bia:mescalero-apache</t>
  </si>
  <si>
    <t xml:space="preserve">Mescalero Apache Tribe of the Mescalero Reservation, New Mexico</t>
  </si>
  <si>
    <t xml:space="preserve">bia:metlakatla</t>
  </si>
  <si>
    <t xml:space="preserve">Metlakatla Indian Community, Annette Island Reserve</t>
  </si>
  <si>
    <t xml:space="preserve">bia:miami-oklahoma</t>
  </si>
  <si>
    <t xml:space="preserve">Miami Tribe of Oklahoma</t>
  </si>
  <si>
    <t xml:space="preserve">bia:miccosukee</t>
  </si>
  <si>
    <t xml:space="preserve">Miccosukee Tribe of Indians</t>
  </si>
  <si>
    <t xml:space="preserve">FL</t>
  </si>
  <si>
    <t xml:space="preserve">bia:middletown-rancheria</t>
  </si>
  <si>
    <t xml:space="preserve">Middletown Rancheria of Pomo Indians of California</t>
  </si>
  <si>
    <t xml:space="preserve">bia:minnesota-chippewa-tribe</t>
  </si>
  <si>
    <t xml:space="preserve">Minnesota Chippewa Tribe, Minnesota (Six component reservations: Bois Forte Band (Nett Lake); Fond du Lac Band; Grand Portage Band; Leech Lake Band; Mille Lacs Band; White Earth Band)</t>
  </si>
  <si>
    <t xml:space="preserve">covered via component bands</t>
  </si>
  <si>
    <t xml:space="preserve">bia:mississippi-choctaw</t>
  </si>
  <si>
    <t xml:space="preserve">bia:mikmaq</t>
  </si>
  <si>
    <t xml:space="preserve">Mi’kmaq Nation</t>
  </si>
  <si>
    <t xml:space="preserve">bia:moapa</t>
  </si>
  <si>
    <t xml:space="preserve">Moapa Band of Paiute Indians of the Moapa River Indian Reservation, Nevada</t>
  </si>
  <si>
    <t xml:space="preserve">bia:modoc-nation</t>
  </si>
  <si>
    <t xml:space="preserve">Modoc Nation</t>
  </si>
  <si>
    <t xml:space="preserve">bia:mohegan</t>
  </si>
  <si>
    <t xml:space="preserve">Mohegan Tribe of Indians of Connecticut</t>
  </si>
  <si>
    <t xml:space="preserve">bia:monacan</t>
  </si>
  <si>
    <t xml:space="preserve">Monacan Indian Nation</t>
  </si>
  <si>
    <t xml:space="preserve">bia:mooretown</t>
  </si>
  <si>
    <t xml:space="preserve">Mooretown Rancheria of Maidu Indians of California</t>
  </si>
  <si>
    <t xml:space="preserve">bia:morongo</t>
  </si>
  <si>
    <t xml:space="preserve">Morongo Band of Mission Indians, California</t>
  </si>
  <si>
    <t xml:space="preserve">bia:muckleshoot</t>
  </si>
  <si>
    <t xml:space="preserve">bia:naknek</t>
  </si>
  <si>
    <t xml:space="preserve">Naknek Native Village</t>
  </si>
  <si>
    <t xml:space="preserve">bia:nansemond</t>
  </si>
  <si>
    <t xml:space="preserve">Nansemond Indian Nation</t>
  </si>
  <si>
    <t xml:space="preserve">bia:narragansett</t>
  </si>
  <si>
    <t xml:space="preserve">Narragansett Indian Tribe</t>
  </si>
  <si>
    <t xml:space="preserve">RI</t>
  </si>
  <si>
    <t xml:space="preserve">bia:afognak</t>
  </si>
  <si>
    <t xml:space="preserve">Native Village of Afognak</t>
  </si>
  <si>
    <t xml:space="preserve">bia:akhiok</t>
  </si>
  <si>
    <t xml:space="preserve">Native Village of Akhiok</t>
  </si>
  <si>
    <t xml:space="preserve">bia:akutan</t>
  </si>
  <si>
    <t xml:space="preserve">Native Village of Akutan</t>
  </si>
  <si>
    <t xml:space="preserve">bia:aleknagik</t>
  </si>
  <si>
    <t xml:space="preserve">Native Village of Aleknagik</t>
  </si>
  <si>
    <t xml:space="preserve">bia:ambler</t>
  </si>
  <si>
    <t xml:space="preserve">Native Village of Ambler</t>
  </si>
  <si>
    <t xml:space="preserve">bia:atka</t>
  </si>
  <si>
    <t xml:space="preserve">Native Village of Atka</t>
  </si>
  <si>
    <t xml:space="preserve">bia:atqasuk</t>
  </si>
  <si>
    <t xml:space="preserve">Native Village of Atqasuk</t>
  </si>
  <si>
    <t xml:space="preserve">bia:native-village-of-barrow</t>
  </si>
  <si>
    <t xml:space="preserve">Native Village of Barrow Inupiat Traditional Government</t>
  </si>
  <si>
    <t xml:space="preserve">bia:belkofski</t>
  </si>
  <si>
    <t xml:space="preserve">Native Village of Belkofski</t>
  </si>
  <si>
    <t xml:space="preserve">bia:brevig-mission</t>
  </si>
  <si>
    <t xml:space="preserve">Native Village of Brevig Mission</t>
  </si>
  <si>
    <t xml:space="preserve">bia:buckland</t>
  </si>
  <si>
    <t xml:space="preserve">Native Village of Buckland</t>
  </si>
  <si>
    <t xml:space="preserve">bia:cantwell</t>
  </si>
  <si>
    <t xml:space="preserve">Native Village of Cantwell</t>
  </si>
  <si>
    <t xml:space="preserve">bia:chenega</t>
  </si>
  <si>
    <t xml:space="preserve">Native Village of Chenega</t>
  </si>
  <si>
    <t xml:space="preserve">bia:chignik-lagoon</t>
  </si>
  <si>
    <t xml:space="preserve">Native Village of Chignik Lagoon</t>
  </si>
  <si>
    <t xml:space="preserve">bia:chitina</t>
  </si>
  <si>
    <t xml:space="preserve">Native Village of Chitina</t>
  </si>
  <si>
    <t xml:space="preserve">bia:chuathbaluk</t>
  </si>
  <si>
    <t xml:space="preserve">Native Village of Chuathbaluk (Russian Mission, Kuskokwim)</t>
  </si>
  <si>
    <t xml:space="preserve">bia:council</t>
  </si>
  <si>
    <t xml:space="preserve">Native Village of Council</t>
  </si>
  <si>
    <t xml:space="preserve">bia:deering</t>
  </si>
  <si>
    <t xml:space="preserve">Native Village of Deering</t>
  </si>
  <si>
    <t xml:space="preserve">bia:diomede</t>
  </si>
  <si>
    <t xml:space="preserve">Native Village of Diomede (aka Inalik)</t>
  </si>
  <si>
    <t xml:space="preserve">bia:eagle</t>
  </si>
  <si>
    <t xml:space="preserve">Native Village of Eagle</t>
  </si>
  <si>
    <t xml:space="preserve">bia:eek</t>
  </si>
  <si>
    <t xml:space="preserve">Native Village of Eek</t>
  </si>
  <si>
    <t xml:space="preserve">bia:ekuk</t>
  </si>
  <si>
    <t xml:space="preserve">Native Village of Ekuk</t>
  </si>
  <si>
    <t xml:space="preserve">bia:ekwok</t>
  </si>
  <si>
    <t xml:space="preserve">Native Village of Ekwok</t>
  </si>
  <si>
    <t xml:space="preserve">bia:elim</t>
  </si>
  <si>
    <t xml:space="preserve">Native Village of Elim</t>
  </si>
  <si>
    <t xml:space="preserve">bia:native-village-of-eyak</t>
  </si>
  <si>
    <t xml:space="preserve">Native Village of Eyak (Cordova)</t>
  </si>
  <si>
    <t xml:space="preserve">bia:false-pass</t>
  </si>
  <si>
    <t xml:space="preserve">Native Village of False Pass</t>
  </si>
  <si>
    <t xml:space="preserve">bia:fort-yukon</t>
  </si>
  <si>
    <t xml:space="preserve">Native Village of Fort Yukon</t>
  </si>
  <si>
    <t xml:space="preserve">bia:gakona</t>
  </si>
  <si>
    <t xml:space="preserve">Native Village of Gakona</t>
  </si>
  <si>
    <t xml:space="preserve">bia:gambell</t>
  </si>
  <si>
    <t xml:space="preserve">Native Village of Gambell</t>
  </si>
  <si>
    <t xml:space="preserve">bia:georgetown-ak</t>
  </si>
  <si>
    <t xml:space="preserve">Native Village of Georgetown</t>
  </si>
  <si>
    <t xml:space="preserve">bia:goodnews-bay</t>
  </si>
  <si>
    <t xml:space="preserve">Native Village of Goodnews Bay</t>
  </si>
  <si>
    <t xml:space="preserve">bia:hamilton</t>
  </si>
  <si>
    <t xml:space="preserve">Native Village of Hamilton</t>
  </si>
  <si>
    <t xml:space="preserve">bia:hooper-bay</t>
  </si>
  <si>
    <t xml:space="preserve">Native Village of Hooper Bay</t>
  </si>
  <si>
    <t xml:space="preserve">bia:kanatak</t>
  </si>
  <si>
    <t xml:space="preserve">Native Village of Kanatak</t>
  </si>
  <si>
    <t xml:space="preserve">bia:karluk</t>
  </si>
  <si>
    <t xml:space="preserve">Native Village of Karluk</t>
  </si>
  <si>
    <t xml:space="preserve">bia:kiana</t>
  </si>
  <si>
    <t xml:space="preserve">Native Village of Kiana</t>
  </si>
  <si>
    <t xml:space="preserve">bia:kipnuk</t>
  </si>
  <si>
    <t xml:space="preserve">Native Village of Kipnuk</t>
  </si>
  <si>
    <t xml:space="preserve">bia:kivalina</t>
  </si>
  <si>
    <t xml:space="preserve">Native Village of Kivalina</t>
  </si>
  <si>
    <t xml:space="preserve">bia:kluti-kaah</t>
  </si>
  <si>
    <t xml:space="preserve">Native Village of Kluti Kaah (aka Copper Center)</t>
  </si>
  <si>
    <t xml:space="preserve">bia:kobuk</t>
  </si>
  <si>
    <t xml:space="preserve">Native Village of Kobuk</t>
  </si>
  <si>
    <t xml:space="preserve">bia:kongiganak</t>
  </si>
  <si>
    <t xml:space="preserve">Native Village of Kongiganak</t>
  </si>
  <si>
    <t xml:space="preserve">bia:kotzebue</t>
  </si>
  <si>
    <t xml:space="preserve">Native Village of Kotzebue</t>
  </si>
  <si>
    <t xml:space="preserve">bia:koyuk</t>
  </si>
  <si>
    <t xml:space="preserve">Native Village of Koyuk</t>
  </si>
  <si>
    <t xml:space="preserve">bia:kwigillingok</t>
  </si>
  <si>
    <t xml:space="preserve">Native Village of Kwigillingok</t>
  </si>
  <si>
    <t xml:space="preserve">bia:kwinhagak</t>
  </si>
  <si>
    <t xml:space="preserve">Native Village of Kwinhagak (aka Quinhagak)</t>
  </si>
  <si>
    <t xml:space="preserve">bia:larsen-bay</t>
  </si>
  <si>
    <t xml:space="preserve">Native Village of Larsen Bay</t>
  </si>
  <si>
    <t xml:space="preserve">bia:marshall</t>
  </si>
  <si>
    <t xml:space="preserve">Native Village of Marshall (aka Fortuna Ledge)</t>
  </si>
  <si>
    <t xml:space="preserve">bia:marys-igloo</t>
  </si>
  <si>
    <t xml:space="preserve">Native Village of Mary’s Igloo</t>
  </si>
  <si>
    <t xml:space="preserve">bia:mekoryuk</t>
  </si>
  <si>
    <t xml:space="preserve">Native Village of Mekoryuk</t>
  </si>
  <si>
    <t xml:space="preserve">bia:minto</t>
  </si>
  <si>
    <t xml:space="preserve">Native Village of Minto</t>
  </si>
  <si>
    <t xml:space="preserve">bia:nanwalek</t>
  </si>
  <si>
    <t xml:space="preserve">Native Village of Nanwalek (aka English Bay)</t>
  </si>
  <si>
    <t xml:space="preserve">bia:napaimute</t>
  </si>
  <si>
    <t xml:space="preserve">Native Village of Napaimute</t>
  </si>
  <si>
    <t xml:space="preserve">bia:napakiak</t>
  </si>
  <si>
    <t xml:space="preserve">Native Village of Napakiak</t>
  </si>
  <si>
    <t xml:space="preserve">bia:napaskiak</t>
  </si>
  <si>
    <t xml:space="preserve">Native Village of Napaskiak</t>
  </si>
  <si>
    <t xml:space="preserve">bia:nelson-lagoon</t>
  </si>
  <si>
    <t xml:space="preserve">Native Village of Nelson Lagoon</t>
  </si>
  <si>
    <t xml:space="preserve">bia:nightmute</t>
  </si>
  <si>
    <t xml:space="preserve">Native Village of Nightmute</t>
  </si>
  <si>
    <t xml:space="preserve">bia:nikolski</t>
  </si>
  <si>
    <t xml:space="preserve">Native Village of Nikolski</t>
  </si>
  <si>
    <t xml:space="preserve">bia:noatak</t>
  </si>
  <si>
    <t xml:space="preserve">Native Village of Noatak</t>
  </si>
  <si>
    <t xml:space="preserve">bia:nuiqsut</t>
  </si>
  <si>
    <t xml:space="preserve">Native Village of Nuiqsut (aka Nooiksut)</t>
  </si>
  <si>
    <t xml:space="preserve">bia:nunam-iqua</t>
  </si>
  <si>
    <t xml:space="preserve">Native Village of Nunam Iqua</t>
  </si>
  <si>
    <t xml:space="preserve">bia:nunapitchuk</t>
  </si>
  <si>
    <t xml:space="preserve">Native Village of Nunapitchuk</t>
  </si>
  <si>
    <t xml:space="preserve">bia:ouzinkie</t>
  </si>
  <si>
    <t xml:space="preserve">Native Village of Ouzinkie</t>
  </si>
  <si>
    <t xml:space="preserve">bia:paimiut</t>
  </si>
  <si>
    <t xml:space="preserve">Native Village of Paimiut</t>
  </si>
  <si>
    <t xml:space="preserve">bia:perryville</t>
  </si>
  <si>
    <t xml:space="preserve">Native Village of Perryville</t>
  </si>
  <si>
    <t xml:space="preserve">bia:pilot-point</t>
  </si>
  <si>
    <t xml:space="preserve">Native Village of Pilot Point</t>
  </si>
  <si>
    <t xml:space="preserve">bia:point-hope</t>
  </si>
  <si>
    <t xml:space="preserve">Native Village of Point Hope</t>
  </si>
  <si>
    <t xml:space="preserve">bia:point-lay</t>
  </si>
  <si>
    <t xml:space="preserve">Native Village of Point Lay</t>
  </si>
  <si>
    <t xml:space="preserve">bia:port-graham</t>
  </si>
  <si>
    <t xml:space="preserve">Native Village of Port Graham</t>
  </si>
  <si>
    <t xml:space="preserve">bia:port-heiden</t>
  </si>
  <si>
    <t xml:space="preserve">Native Village of Port Heiden</t>
  </si>
  <si>
    <t xml:space="preserve">bia:port-lions</t>
  </si>
  <si>
    <t xml:space="preserve">Native Village of Port Lions</t>
  </si>
  <si>
    <t xml:space="preserve">bia:ruby</t>
  </si>
  <si>
    <t xml:space="preserve">Native Village of Ruby</t>
  </si>
  <si>
    <t xml:space="preserve">bia:saint-michael</t>
  </si>
  <si>
    <t xml:space="preserve">Native Village of Saint Michael</t>
  </si>
  <si>
    <t xml:space="preserve">bia:savoonga</t>
  </si>
  <si>
    <t xml:space="preserve">Native Village of Savoonga</t>
  </si>
  <si>
    <t xml:space="preserve">bia:scammon-bay</t>
  </si>
  <si>
    <t xml:space="preserve">Native Village of Scammon Bay</t>
  </si>
  <si>
    <t xml:space="preserve">bia:selawik</t>
  </si>
  <si>
    <t xml:space="preserve">Native Village of Selawik</t>
  </si>
  <si>
    <t xml:space="preserve">bia:shaktoolik</t>
  </si>
  <si>
    <t xml:space="preserve">Native Village of Shaktoolik</t>
  </si>
  <si>
    <t xml:space="preserve">bia:shishmaref</t>
  </si>
  <si>
    <t xml:space="preserve">Native Village of Shishmaref</t>
  </si>
  <si>
    <t xml:space="preserve">bia:shungnak</t>
  </si>
  <si>
    <t xml:space="preserve">Native Village of Shungnak</t>
  </si>
  <si>
    <t xml:space="preserve">bia:south-naknek</t>
  </si>
  <si>
    <t xml:space="preserve">Native Village of South Naknek</t>
  </si>
  <si>
    <t xml:space="preserve">bia:stevens-village</t>
  </si>
  <si>
    <t xml:space="preserve">Native Village of Stevens</t>
  </si>
  <si>
    <t xml:space="preserve">bia:tanacross</t>
  </si>
  <si>
    <t xml:space="preserve">Native Village of Tanacross</t>
  </si>
  <si>
    <t xml:space="preserve">bia:tanana</t>
  </si>
  <si>
    <t xml:space="preserve">Native Village of Tanana</t>
  </si>
  <si>
    <t xml:space="preserve">bia:tatitlek</t>
  </si>
  <si>
    <t xml:space="preserve">Native Village of Tatitlek</t>
  </si>
  <si>
    <t xml:space="preserve">bia:tazlina</t>
  </si>
  <si>
    <t xml:space="preserve">Native Village of Tazlina</t>
  </si>
  <si>
    <t xml:space="preserve">bia:teller</t>
  </si>
  <si>
    <t xml:space="preserve">Native Village of Teller</t>
  </si>
  <si>
    <t xml:space="preserve">bia:tetlin</t>
  </si>
  <si>
    <t xml:space="preserve">Native Village of Tetlin</t>
  </si>
  <si>
    <t xml:space="preserve">bia:tuntutuliak</t>
  </si>
  <si>
    <t xml:space="preserve">Native Village of Tuntutuliak</t>
  </si>
  <si>
    <t xml:space="preserve">bia:tununak</t>
  </si>
  <si>
    <t xml:space="preserve">Native Village of Tununak</t>
  </si>
  <si>
    <t xml:space="preserve">bia:tyonek</t>
  </si>
  <si>
    <t xml:space="preserve">Native Village of Tyonek</t>
  </si>
  <si>
    <t xml:space="preserve">bia:unalakleet</t>
  </si>
  <si>
    <t xml:space="preserve">Native Village of Unalakleet</t>
  </si>
  <si>
    <t xml:space="preserve">bia:unga</t>
  </si>
  <si>
    <t xml:space="preserve">Native Village of Unga</t>
  </si>
  <si>
    <t xml:space="preserve">bia:venetie</t>
  </si>
  <si>
    <t xml:space="preserve">Native Village of Venetie Tribal Government (Arctic Village and Village of Venetie)</t>
  </si>
  <si>
    <t xml:space="preserve">bia:wales</t>
  </si>
  <si>
    <t xml:space="preserve">Native Village of Wales</t>
  </si>
  <si>
    <t xml:space="preserve">bia:white-mountain-ak</t>
  </si>
  <si>
    <t xml:space="preserve">Native Village of White Mountain</t>
  </si>
  <si>
    <t xml:space="preserve">bia:navajo-nation</t>
  </si>
  <si>
    <t xml:space="preserve">Navajo Nation, Arizona, New Mexico, &amp; Utah</t>
  </si>
  <si>
    <t xml:space="preserve">AZ; NM; UT</t>
  </si>
  <si>
    <t xml:space="preserve">bia:nenana</t>
  </si>
  <si>
    <t xml:space="preserve">Nenana Native Association</t>
  </si>
  <si>
    <t xml:space="preserve">bia:new-koliganek</t>
  </si>
  <si>
    <t xml:space="preserve">New Koliganek Village Council</t>
  </si>
  <si>
    <t xml:space="preserve">bia:new-stuyahok</t>
  </si>
  <si>
    <t xml:space="preserve">New Stuyahok Village</t>
  </si>
  <si>
    <t xml:space="preserve">bia:newhalen</t>
  </si>
  <si>
    <t xml:space="preserve">Newhalen Village</t>
  </si>
  <si>
    <t xml:space="preserve">bia:newtok</t>
  </si>
  <si>
    <t xml:space="preserve">Newtok Village</t>
  </si>
  <si>
    <t xml:space="preserve">bia:nez-perce</t>
  </si>
  <si>
    <t xml:space="preserve">bia:nikolai</t>
  </si>
  <si>
    <t xml:space="preserve">Nikolai Village</t>
  </si>
  <si>
    <t xml:space="preserve">bia:ninilchik</t>
  </si>
  <si>
    <t xml:space="preserve">Ninilchik Village</t>
  </si>
  <si>
    <t xml:space="preserve">bia:nisqually</t>
  </si>
  <si>
    <t xml:space="preserve">bia:nome-eskimo</t>
  </si>
  <si>
    <t xml:space="preserve">Nome Eskimo Community</t>
  </si>
  <si>
    <t xml:space="preserve">bia:nondalton</t>
  </si>
  <si>
    <t xml:space="preserve">Nondalton Tribe</t>
  </si>
  <si>
    <t xml:space="preserve">bia:nooksack</t>
  </si>
  <si>
    <t xml:space="preserve">Nooksack Indian Tribe</t>
  </si>
  <si>
    <t xml:space="preserve">bia:noorvik</t>
  </si>
  <si>
    <t xml:space="preserve">Noorvik Native Community</t>
  </si>
  <si>
    <t xml:space="preserve">bia:northern-arapaho</t>
  </si>
  <si>
    <t xml:space="preserve">Northern Arapaho Tribe of the Wind River Reservation, Wyoming</t>
  </si>
  <si>
    <t xml:space="preserve">bia:northern-cheyenne</t>
  </si>
  <si>
    <t xml:space="preserve">Northern Cheyenne Tribe of the Northern Cheyenne Indian Reservation, Montana</t>
  </si>
  <si>
    <t xml:space="preserve">bia:northfork</t>
  </si>
  <si>
    <t xml:space="preserve">Northfork Rancheria of Mono Indians of California</t>
  </si>
  <si>
    <t xml:space="preserve">bia:northway</t>
  </si>
  <si>
    <t xml:space="preserve">Northway Village</t>
  </si>
  <si>
    <t xml:space="preserve">bia:nw-shoshone</t>
  </si>
  <si>
    <t xml:space="preserve">Northwestern Band of the Shoshone Nation</t>
  </si>
  <si>
    <t xml:space="preserve">UT; ID</t>
  </si>
  <si>
    <t xml:space="preserve">bia:nottawaseppi-huron</t>
  </si>
  <si>
    <t xml:space="preserve">Nottawaseppi Huron Band of the Potawatomi, Michigan</t>
  </si>
  <si>
    <t xml:space="preserve">bia:nulato</t>
  </si>
  <si>
    <t xml:space="preserve">Nulato Village</t>
  </si>
  <si>
    <t xml:space="preserve">bia:nunakauyarmiut</t>
  </si>
  <si>
    <t xml:space="preserve">Nunakauyarmiut Tribe</t>
  </si>
  <si>
    <t xml:space="preserve">bia:oglala-sioux</t>
  </si>
  <si>
    <t xml:space="preserve">bia:ohkay-owingeh</t>
  </si>
  <si>
    <t xml:space="preserve">Ohkay Owingeh, New Mexico</t>
  </si>
  <si>
    <t xml:space="preserve">bia:omaha-tribe</t>
  </si>
  <si>
    <t xml:space="preserve">bia:oneida-indian-nation</t>
  </si>
  <si>
    <t xml:space="preserve">Oneida Indian Nation</t>
  </si>
  <si>
    <t xml:space="preserve">bia:oneida-nation-wi</t>
  </si>
  <si>
    <t xml:space="preserve">bia:onondaga</t>
  </si>
  <si>
    <t xml:space="preserve">Onondaga Nation</t>
  </si>
  <si>
    <t xml:space="preserve">bia:grayling</t>
  </si>
  <si>
    <t xml:space="preserve">Organized Village of Grayling (aka Holikachuk)</t>
  </si>
  <si>
    <t xml:space="preserve">bia:kake</t>
  </si>
  <si>
    <t xml:space="preserve">Organized Village of Kake</t>
  </si>
  <si>
    <t xml:space="preserve">bia:kasaan</t>
  </si>
  <si>
    <t xml:space="preserve">Organized Village of Kasaan</t>
  </si>
  <si>
    <t xml:space="preserve">bia:kwethluk</t>
  </si>
  <si>
    <t xml:space="preserve">Organized Village of Kwethluk</t>
  </si>
  <si>
    <t xml:space="preserve">bia:saxman</t>
  </si>
  <si>
    <t xml:space="preserve">Organized Village of Saxman</t>
  </si>
  <si>
    <t xml:space="preserve">bia:orutsararmiut</t>
  </si>
  <si>
    <t xml:space="preserve">Orutsararmiut Traditional Native Council</t>
  </si>
  <si>
    <t xml:space="preserve">bia:oscarville</t>
  </si>
  <si>
    <t xml:space="preserve">Oscarville Traditional Village</t>
  </si>
  <si>
    <t xml:space="preserve">bia:otoe-missouria</t>
  </si>
  <si>
    <t xml:space="preserve">Otoe-Missouria Tribe of Indians, Oklahoma</t>
  </si>
  <si>
    <t xml:space="preserve">bia:ottawa-tribe-oklahoma</t>
  </si>
  <si>
    <t xml:space="preserve">Ottawa Tribe of Oklahoma</t>
  </si>
  <si>
    <t xml:space="preserve">bia:paiute-utah</t>
  </si>
  <si>
    <t xml:space="preserve">Paiute Indian Tribe of Utah (Cedar Band of Paiutes, Kanosh Band of Paiutes, Koosharem Band of Paiutes, Indian Peaks Band of Paiutes, and Shivwits Band of Paiutes)</t>
  </si>
  <si>
    <t xml:space="preserve">bia:fallon-paiute-shoshone</t>
  </si>
  <si>
    <t xml:space="preserve">Paiute-Shoshone Tribe of the Fallon Reservation and Colony, Nevada</t>
  </si>
  <si>
    <t xml:space="preserve">bia:pala</t>
  </si>
  <si>
    <t xml:space="preserve">Pala Band of Mission Indians</t>
  </si>
  <si>
    <t xml:space="preserve">bia:pamunkey</t>
  </si>
  <si>
    <t xml:space="preserve">bia:pascua-yaqui</t>
  </si>
  <si>
    <t xml:space="preserve">Pascua Yaqui Tribe of Arizona</t>
  </si>
  <si>
    <t xml:space="preserve">bia:paskenta</t>
  </si>
  <si>
    <t xml:space="preserve">Paskenta Band of Nomlaki Indians of California</t>
  </si>
  <si>
    <t xml:space="preserve">bia:passamaquoddy</t>
  </si>
  <si>
    <t xml:space="preserve">Passamaquoddy Tribe</t>
  </si>
  <si>
    <t xml:space="preserve">bia:pauloff-harbor</t>
  </si>
  <si>
    <t xml:space="preserve">Pauloff Harbor Village</t>
  </si>
  <si>
    <t xml:space="preserve">bia:pauma</t>
  </si>
  <si>
    <t xml:space="preserve">Pauma Band of Luiseno Mission Indians of the Pauma &amp; Yuima Reservation, California</t>
  </si>
  <si>
    <t xml:space="preserve">bia:pawnee-nation</t>
  </si>
  <si>
    <t xml:space="preserve">bia:pechanga</t>
  </si>
  <si>
    <t xml:space="preserve">Pechanga Band of Indians</t>
  </si>
  <si>
    <t xml:space="preserve">bia:pedro-bay</t>
  </si>
  <si>
    <t xml:space="preserve">Pedro Bay Village</t>
  </si>
  <si>
    <t xml:space="preserve">bia:penobscot</t>
  </si>
  <si>
    <t xml:space="preserve">bia:peoria</t>
  </si>
  <si>
    <t xml:space="preserve">Peoria Tribe of Indians of Oklahoma</t>
  </si>
  <si>
    <t xml:space="preserve">bia:petersburg-indian-association</t>
  </si>
  <si>
    <t xml:space="preserve">Petersburg Indian Association</t>
  </si>
  <si>
    <t xml:space="preserve">bia:picayune</t>
  </si>
  <si>
    <t xml:space="preserve">Picayune Rancheria of Chukchansi Indians of California</t>
  </si>
  <si>
    <t xml:space="preserve">bia:pilot-station</t>
  </si>
  <si>
    <t xml:space="preserve">Pilot Station Traditional Village</t>
  </si>
  <si>
    <t xml:space="preserve">bia:pinoleville</t>
  </si>
  <si>
    <t xml:space="preserve">Pinoleville Pomo Nation, California</t>
  </si>
  <si>
    <t xml:space="preserve">bia:pit-river</t>
  </si>
  <si>
    <t xml:space="preserve">Pit River Tribe, California (includes XL Ranch, Big Bend, Likely, Lookout, Montgomery Creek, and Roaring Creek Rancherias)</t>
  </si>
  <si>
    <t xml:space="preserve">bia:pitkas-point</t>
  </si>
  <si>
    <t xml:space="preserve">Pitka’s Point Traditional Council</t>
  </si>
  <si>
    <t xml:space="preserve">bia:platinum</t>
  </si>
  <si>
    <t xml:space="preserve">Platinum Traditional Village</t>
  </si>
  <si>
    <t xml:space="preserve">bia:poarch-band</t>
  </si>
  <si>
    <t xml:space="preserve">bia:pokagon-band</t>
  </si>
  <si>
    <t xml:space="preserve">Pokagon Band of Potawatomi Indians, Michigan and Indiana</t>
  </si>
  <si>
    <t xml:space="preserve">MI; IN</t>
  </si>
  <si>
    <t xml:space="preserve">bia:ponca-oklahoma</t>
  </si>
  <si>
    <t xml:space="preserve">Ponca Tribe of Indians of Oklahoma</t>
  </si>
  <si>
    <t xml:space="preserve">bia:ponca-nebraska</t>
  </si>
  <si>
    <t xml:space="preserve">Ponca Tribe of Nebraska</t>
  </si>
  <si>
    <t xml:space="preserve">bia:port-gamble-sklallam</t>
  </si>
  <si>
    <t xml:space="preserve">Port Gamble S’Klallam Tribe</t>
  </si>
  <si>
    <t xml:space="preserve">bia:portage-creek</t>
  </si>
  <si>
    <t xml:space="preserve">Portage Creek Village (aka Ohgsenakale)</t>
  </si>
  <si>
    <t xml:space="preserve">bia:potter-valley</t>
  </si>
  <si>
    <t xml:space="preserve">Potter Valley Tribe, California</t>
  </si>
  <si>
    <t xml:space="preserve">bia:prairie-band-potawatomi</t>
  </si>
  <si>
    <t xml:space="preserve">Prairie Band Potawatomi Nation</t>
  </si>
  <si>
    <t xml:space="preserve">bia:prairie-island</t>
  </si>
  <si>
    <t xml:space="preserve">Prairie Island Indian Community in the State of Minnesota</t>
  </si>
  <si>
    <t xml:space="preserve">bia:acoma</t>
  </si>
  <si>
    <t xml:space="preserve">Pueblo of Acoma, New Mexico</t>
  </si>
  <si>
    <t xml:space="preserve">bia:cochiti</t>
  </si>
  <si>
    <t xml:space="preserve">Pueblo of Cochiti, New Mexico</t>
  </si>
  <si>
    <t xml:space="preserve">bia:isleta</t>
  </si>
  <si>
    <t xml:space="preserve">Pueblo of Isleta, New Mexico</t>
  </si>
  <si>
    <t xml:space="preserve">bia:jemez</t>
  </si>
  <si>
    <t xml:space="preserve">Pueblo of Jemez, New Mexico</t>
  </si>
  <si>
    <t xml:space="preserve">bia:pueblo-of-laguna</t>
  </si>
  <si>
    <t xml:space="preserve">Pueblo of Laguna, New Mexico</t>
  </si>
  <si>
    <t xml:space="preserve">bia:nambe</t>
  </si>
  <si>
    <t xml:space="preserve">Pueblo of Nambe, New Mexico</t>
  </si>
  <si>
    <t xml:space="preserve">bia:picuris</t>
  </si>
  <si>
    <t xml:space="preserve">Pueblo of Picuris, New Mexico</t>
  </si>
  <si>
    <t xml:space="preserve">bia:pojoaque</t>
  </si>
  <si>
    <t xml:space="preserve">Pueblo of Pojoaque, New Mexico</t>
  </si>
  <si>
    <t xml:space="preserve">bia:san-felipe</t>
  </si>
  <si>
    <t xml:space="preserve">Pueblo of San Felipe, New Mexico</t>
  </si>
  <si>
    <t xml:space="preserve">bia:san-ildefonso</t>
  </si>
  <si>
    <t xml:space="preserve">Pueblo of San Ildefonso, New Mexico</t>
  </si>
  <si>
    <t xml:space="preserve">bia:sandia</t>
  </si>
  <si>
    <t xml:space="preserve">Pueblo of Sandia, New Mexico</t>
  </si>
  <si>
    <t xml:space="preserve">bia:santa-ana-pueblo</t>
  </si>
  <si>
    <t xml:space="preserve">Pueblo of Santa Ana, New Mexico</t>
  </si>
  <si>
    <t xml:space="preserve">bia:santa-clara-pueblo</t>
  </si>
  <si>
    <t xml:space="preserve">Pueblo of Santa Clara, New Mexico</t>
  </si>
  <si>
    <t xml:space="preserve">bia:taos-pueblo</t>
  </si>
  <si>
    <t xml:space="preserve">Pueblo of Taos, New Mexico</t>
  </si>
  <si>
    <t xml:space="preserve">bia:tesuque</t>
  </si>
  <si>
    <t xml:space="preserve">Pueblo of Tesuque, New Mexico</t>
  </si>
  <si>
    <t xml:space="preserve">bia:zia</t>
  </si>
  <si>
    <t xml:space="preserve">Pueblo of Zia, New Mexico</t>
  </si>
  <si>
    <t xml:space="preserve">bia:pulikla</t>
  </si>
  <si>
    <t xml:space="preserve">Pulikla Tribe of Yurok People</t>
  </si>
  <si>
    <t xml:space="preserve">bia:puyallup</t>
  </si>
  <si>
    <t xml:space="preserve">Puyallup Tribe of the Puyallup Reservation</t>
  </si>
  <si>
    <t xml:space="preserve">bia:pyramid-lake-paiute</t>
  </si>
  <si>
    <t xml:space="preserve">Pyramid Lake Paiute Tribe of the Pyramid Lake Reservation, Nevada</t>
  </si>
  <si>
    <t xml:space="preserve">bia:qagan-tayagungin</t>
  </si>
  <si>
    <t xml:space="preserve">Qagan Tayagungin Tribe of Sand Point</t>
  </si>
  <si>
    <t xml:space="preserve">bia:qawalangin</t>
  </si>
  <si>
    <t xml:space="preserve">Qawalangin Tribe of Unalaska</t>
  </si>
  <si>
    <t xml:space="preserve">bia:quapaw</t>
  </si>
  <si>
    <t xml:space="preserve">bia:quartz-valley</t>
  </si>
  <si>
    <t xml:space="preserve">Quartz Valley Indian Community of the Quartz Valley Reservation of California</t>
  </si>
  <si>
    <t xml:space="preserve">bia:quechan</t>
  </si>
  <si>
    <t xml:space="preserve">Quechan Tribe of the Fort Yuma Indian Reservation, California &amp; Arizona</t>
  </si>
  <si>
    <t xml:space="preserve">CA; AZ</t>
  </si>
  <si>
    <t xml:space="preserve">bia:quileute</t>
  </si>
  <si>
    <t xml:space="preserve">Quileute Tribe of the Quileute Reservation</t>
  </si>
  <si>
    <t xml:space="preserve">bia:quinault</t>
  </si>
  <si>
    <t xml:space="preserve">bia:ramona</t>
  </si>
  <si>
    <t xml:space="preserve">Ramona Band of Cahuilla, California</t>
  </si>
  <si>
    <t xml:space="preserve">bia:rampart</t>
  </si>
  <si>
    <t xml:space="preserve">Rampart Village</t>
  </si>
  <si>
    <t xml:space="preserve">bia:rappahannock</t>
  </si>
  <si>
    <t xml:space="preserve">Rappahannock Tribe, Inc.</t>
  </si>
  <si>
    <t xml:space="preserve">bia:red-cliff-chippewa</t>
  </si>
  <si>
    <t xml:space="preserve">Red Cliff Band of Lake Superior Chippewa Indians of Wisconsin</t>
  </si>
  <si>
    <t xml:space="preserve">bia:red-lake</t>
  </si>
  <si>
    <t xml:space="preserve">Red Lake Band of Chippewa Indians, Minnesota</t>
  </si>
  <si>
    <t xml:space="preserve">bia:redding-rancheria</t>
  </si>
  <si>
    <t xml:space="preserve">Redding Rancheria, California</t>
  </si>
  <si>
    <t xml:space="preserve">bia:redwood-valley</t>
  </si>
  <si>
    <t xml:space="preserve">Redwood Valley or Little River Band of Pomo Indians of the Redwood Valley Rancheria California</t>
  </si>
  <si>
    <t xml:space="preserve">bia:reno-sparks</t>
  </si>
  <si>
    <t xml:space="preserve">Reno-Sparks Indian Colony, Nevada</t>
  </si>
  <si>
    <t xml:space="preserve">bia:rincon</t>
  </si>
  <si>
    <t xml:space="preserve">Rincon Band of Luiseno Indians</t>
  </si>
  <si>
    <t xml:space="preserve">bia:robinson-rancheria</t>
  </si>
  <si>
    <t xml:space="preserve">Robinson Rancheria</t>
  </si>
  <si>
    <t xml:space="preserve">bia:rosebud-sioux</t>
  </si>
  <si>
    <t xml:space="preserve">Rosebud Sioux Tribe of the Rosebud Indian Reservation, South Dakota</t>
  </si>
  <si>
    <t xml:space="preserve">bia:round-valley</t>
  </si>
  <si>
    <t xml:space="preserve">Round Valley Indian Tribes, Round Valley Reservation, California</t>
  </si>
  <si>
    <t xml:space="preserve">bia:sac-fox-missouri</t>
  </si>
  <si>
    <t xml:space="preserve">Sac &amp; Fox Nation of Missouri in Kansas and Nebraska</t>
  </si>
  <si>
    <t xml:space="preserve">bia:sac-and-fox-nation</t>
  </si>
  <si>
    <t xml:space="preserve">Sac &amp; Fox Nation, Oklahoma</t>
  </si>
  <si>
    <t xml:space="preserve">bia:meskwaki</t>
  </si>
  <si>
    <t xml:space="preserve">Sac &amp; Fox Tribe of the Mississippi in Iowa</t>
  </si>
  <si>
    <t xml:space="preserve">IA</t>
  </si>
  <si>
    <t xml:space="preserve">bia:saginaw-chippewa</t>
  </si>
  <si>
    <t xml:space="preserve">Saginaw Chippewa Indian Tribe of Michigan</t>
  </si>
  <si>
    <t xml:space="preserve">bia:saint-regis-mohawk</t>
  </si>
  <si>
    <t xml:space="preserve">bia:salamatoff</t>
  </si>
  <si>
    <t xml:space="preserve">Salamatof Tribe</t>
  </si>
  <si>
    <t xml:space="preserve">bia:salt-river-pima-maricopa</t>
  </si>
  <si>
    <t xml:space="preserve">Salt River Pima-Maricopa Indian Community of the Salt River Reservation, Arizona</t>
  </si>
  <si>
    <t xml:space="preserve">bia:samish</t>
  </si>
  <si>
    <t xml:space="preserve">Samish Indian Nation</t>
  </si>
  <si>
    <t xml:space="preserve">bia:san-carlos-apache</t>
  </si>
  <si>
    <t xml:space="preserve">San Carlos Apache Tribe of the San Carlos Reservation, Arizona</t>
  </si>
  <si>
    <t xml:space="preserve">bia:san-juan-southern-paiute</t>
  </si>
  <si>
    <t xml:space="preserve">San Juan Southern Paiute Tribe of Arizona</t>
  </si>
  <si>
    <t xml:space="preserve">bia:san-pasqual</t>
  </si>
  <si>
    <t xml:space="preserve">San Pasqual Band of Diegueno Mission Indians of California</t>
  </si>
  <si>
    <t xml:space="preserve">bia:santa-rosa-cahuilla</t>
  </si>
  <si>
    <t xml:space="preserve">Santa Rosa Band of Cahuilla Indians, California</t>
  </si>
  <si>
    <t xml:space="preserve">bia:santa-rosa-rancheria</t>
  </si>
  <si>
    <t xml:space="preserve">Santa Rosa Indian Community of the Santa Rosa Rancheria, California</t>
  </si>
  <si>
    <t xml:space="preserve">bia:santa-ynez-chumash</t>
  </si>
  <si>
    <t xml:space="preserve">Santa Ynez Band of Chumash Mission Indians of the Santa Ynez Reservation, California</t>
  </si>
  <si>
    <t xml:space="preserve">bia:santee-sioux</t>
  </si>
  <si>
    <t xml:space="preserve">Santee Sioux Nation, Nebraska</t>
  </si>
  <si>
    <t xml:space="preserve">bia:santo-domingo</t>
  </si>
  <si>
    <t xml:space="preserve">Santo Domingo Pueblo</t>
  </si>
  <si>
    <t xml:space="preserve">bia:sauk-suiattle</t>
  </si>
  <si>
    <t xml:space="preserve">Sauk-Suiattle Indian Tribe</t>
  </si>
  <si>
    <t xml:space="preserve">bia:sault-ste-marie</t>
  </si>
  <si>
    <t xml:space="preserve">Sault Ste. Marie Tribe of Chippewa Indians, Michigan</t>
  </si>
  <si>
    <t xml:space="preserve">bia:scotts-valley</t>
  </si>
  <si>
    <t xml:space="preserve">Scotts Valley Band of Pomo Indians of California</t>
  </si>
  <si>
    <t xml:space="preserve">bia:seldovia</t>
  </si>
  <si>
    <t xml:space="preserve">Seldovia Village Tribe</t>
  </si>
  <si>
    <t xml:space="preserve">bia:seminole-florida</t>
  </si>
  <si>
    <t xml:space="preserve">Seminole Tribe of Florida</t>
  </si>
  <si>
    <t xml:space="preserve">bia:seneca-nation</t>
  </si>
  <si>
    <t xml:space="preserve">Seneca Nation of Indians</t>
  </si>
  <si>
    <t xml:space="preserve">bia:seneca-cayuga</t>
  </si>
  <si>
    <t xml:space="preserve">Seneca–Cayuga Nation</t>
  </si>
  <si>
    <t xml:space="preserve">bia:shageluk</t>
  </si>
  <si>
    <t xml:space="preserve">Shageluk Native Village</t>
  </si>
  <si>
    <t xml:space="preserve">bia:shakopee</t>
  </si>
  <si>
    <t xml:space="preserve">Shakopee Mdewakanton Sioux Community of Minnesota</t>
  </si>
  <si>
    <t xml:space="preserve">bia:shawnee-tribe</t>
  </si>
  <si>
    <t xml:space="preserve">Shawnee Tribe</t>
  </si>
  <si>
    <t xml:space="preserve">bia:sherwood-valley</t>
  </si>
  <si>
    <t xml:space="preserve">Sherwood Valley Rancheria of Pomo Indians of California</t>
  </si>
  <si>
    <t xml:space="preserve">bia:shingle-springs</t>
  </si>
  <si>
    <t xml:space="preserve">Shingle Springs Band of Miwok Indians, Shingle Springs Rancheria (Verona Tract), California</t>
  </si>
  <si>
    <t xml:space="preserve">bia:shinnecock</t>
  </si>
  <si>
    <t xml:space="preserve">Shinnecock Indian Nation</t>
  </si>
  <si>
    <t xml:space="preserve">bia:shoalwater-bay</t>
  </si>
  <si>
    <t xml:space="preserve">Shoalwater Bay Indian Tribe of the Shoalwater Bay Indian Reservation</t>
  </si>
  <si>
    <t xml:space="preserve">bia:shoshone-bannock</t>
  </si>
  <si>
    <t xml:space="preserve">Shoshone-Bannock Tribes of the Fort Hall Reservation</t>
  </si>
  <si>
    <t xml:space="preserve">bia:duck-valley</t>
  </si>
  <si>
    <t xml:space="preserve">Shoshone-Paiute Tribes of the Duck Valley Reservation, Nevada</t>
  </si>
  <si>
    <t xml:space="preserve">NV; ID</t>
  </si>
  <si>
    <t xml:space="preserve">bia:sisseton-wahpeton-oyate</t>
  </si>
  <si>
    <t xml:space="preserve">Sisseton-Wahpeton Oyate of the Lake Traverse Reservation, South Dakota</t>
  </si>
  <si>
    <t xml:space="preserve">bia:sitka-tribe</t>
  </si>
  <si>
    <t xml:space="preserve">Sitka Tribe of Alaska</t>
  </si>
  <si>
    <t xml:space="preserve">bia:skagway</t>
  </si>
  <si>
    <t xml:space="preserve">Skagway Village</t>
  </si>
  <si>
    <t xml:space="preserve">bia:skokomish</t>
  </si>
  <si>
    <t xml:space="preserve">Skokomish Indian Tribe</t>
  </si>
  <si>
    <t xml:space="preserve">bia:skull-valley-goshute</t>
  </si>
  <si>
    <t xml:space="preserve">Skull Valley Band of Goshute Indians of Utah</t>
  </si>
  <si>
    <t xml:space="preserve">bia:snoqualmie</t>
  </si>
  <si>
    <t xml:space="preserve">bia:soboba</t>
  </si>
  <si>
    <t xml:space="preserve">Soboba Band of Luiseno Indians, California</t>
  </si>
  <si>
    <t xml:space="preserve">bia:sokaogon</t>
  </si>
  <si>
    <t xml:space="preserve">Sokaogon Chippewa Community, Wisconsin</t>
  </si>
  <si>
    <t xml:space="preserve">bia:southern-ute</t>
  </si>
  <si>
    <t xml:space="preserve">Southern Ute Indian Tribe of the Southern Ute Reservation, Colorado</t>
  </si>
  <si>
    <t xml:space="preserve">bia:spirit-lake</t>
  </si>
  <si>
    <t xml:space="preserve">Spirit Lake Tribe, North Dakota</t>
  </si>
  <si>
    <t xml:space="preserve">bia:spokane</t>
  </si>
  <si>
    <t xml:space="preserve">Spokane Tribe of the Spokane Reservation</t>
  </si>
  <si>
    <t xml:space="preserve">bia:squaxin-island</t>
  </si>
  <si>
    <t xml:space="preserve">Squaxin Island Tribe of the Squaxin Island Reservation</t>
  </si>
  <si>
    <t xml:space="preserve">bia:st-croix-chippewa</t>
  </si>
  <si>
    <t xml:space="preserve">St. Croix Chippewa Indians of Wisconsin</t>
  </si>
  <si>
    <t xml:space="preserve">bia:saint-george</t>
  </si>
  <si>
    <t xml:space="preserve">St. George Island</t>
  </si>
  <si>
    <t xml:space="preserve">bia:standing-rock-sioux</t>
  </si>
  <si>
    <t xml:space="preserve">Standing Rock Sioux Tribe of North &amp; South Dakota</t>
  </si>
  <si>
    <t xml:space="preserve">ND; SD</t>
  </si>
  <si>
    <t xml:space="preserve">bia:stebbins</t>
  </si>
  <si>
    <t xml:space="preserve">Stebbins Community Association</t>
  </si>
  <si>
    <t xml:space="preserve">bia:stillaguamish</t>
  </si>
  <si>
    <t xml:space="preserve">Stillaguamish Tribe of Indians of Washington</t>
  </si>
  <si>
    <t xml:space="preserve">bia:stockbridge-munsee</t>
  </si>
  <si>
    <t xml:space="preserve">Stockbridge Munsee Community, Wisconsin</t>
  </si>
  <si>
    <t xml:space="preserve">bia:summit-lake</t>
  </si>
  <si>
    <t xml:space="preserve">Summit Lake Paiute Tribe of Nevada</t>
  </si>
  <si>
    <t xml:space="preserve">bia:sunaq</t>
  </si>
  <si>
    <t xml:space="preserve">Sun’aq Tribe of Kodiak</t>
  </si>
  <si>
    <t xml:space="preserve">bia:suquamish</t>
  </si>
  <si>
    <t xml:space="preserve">Suquamish Indian Tribe of the Port Madison Reservation</t>
  </si>
  <si>
    <t xml:space="preserve">bia:susanville</t>
  </si>
  <si>
    <t xml:space="preserve">Susanville Indian Rancheria, California</t>
  </si>
  <si>
    <t xml:space="preserve">bia:swinomish</t>
  </si>
  <si>
    <t xml:space="preserve">bia:sycuan</t>
  </si>
  <si>
    <t xml:space="preserve">Sycuan Band of the Kumeyaay Nation</t>
  </si>
  <si>
    <t xml:space="preserve">bia:table-mountain</t>
  </si>
  <si>
    <t xml:space="preserve">Table Mountain Rancheria</t>
  </si>
  <si>
    <t xml:space="preserve">bia:takotna</t>
  </si>
  <si>
    <t xml:space="preserve">Takotna Village</t>
  </si>
  <si>
    <t xml:space="preserve">bia:tangirnaq</t>
  </si>
  <si>
    <t xml:space="preserve">Tangirnaq Native Village</t>
  </si>
  <si>
    <t xml:space="preserve">bia:te-moak</t>
  </si>
  <si>
    <t xml:space="preserve">Te-Moak Tribe of Western Shoshone Indians of Nevada (Four constituent bands: Battle Mountain Band; Elko Band; South Fork Band; and Wells Band)</t>
  </si>
  <si>
    <t xml:space="preserve">bia:tejon</t>
  </si>
  <si>
    <t xml:space="preserve">Tejon Indian Tribe</t>
  </si>
  <si>
    <t xml:space="preserve">bia:telida</t>
  </si>
  <si>
    <t xml:space="preserve">Telida Village</t>
  </si>
  <si>
    <t xml:space="preserve">bia:chickasaw-nation</t>
  </si>
  <si>
    <t xml:space="preserve">The Chickasaw Nation</t>
  </si>
  <si>
    <t xml:space="preserve">bia:choctaw-nation-oklahoma</t>
  </si>
  <si>
    <t xml:space="preserve">The Choctaw Nation of Oklahoma</t>
  </si>
  <si>
    <t xml:space="preserve">bia:muscogee-creek-nation</t>
  </si>
  <si>
    <t xml:space="preserve">The Muscogee (Creek) Nation</t>
  </si>
  <si>
    <t xml:space="preserve">bia:osage-nation</t>
  </si>
  <si>
    <t xml:space="preserve">The Osage Nation</t>
  </si>
  <si>
    <t xml:space="preserve">bia:seminole-nation-oklahoma</t>
  </si>
  <si>
    <t xml:space="preserve">The Seminole Nation of Oklahoma</t>
  </si>
  <si>
    <t xml:space="preserve">bia:thlopthlocco</t>
  </si>
  <si>
    <t xml:space="preserve">Thlopthlocco Tribal Town</t>
  </si>
  <si>
    <t xml:space="preserve">bia:three-affiliated-tribes</t>
  </si>
  <si>
    <t xml:space="preserve">Three Affiliated Tribes of the Fort Berthold Reservation, North Dakota</t>
  </si>
  <si>
    <t xml:space="preserve">bia:timbisha</t>
  </si>
  <si>
    <t xml:space="preserve">Timbisha Shoshone Tribe</t>
  </si>
  <si>
    <t xml:space="preserve">CA; NV</t>
  </si>
  <si>
    <t xml:space="preserve">bia:tohono-oodham</t>
  </si>
  <si>
    <t xml:space="preserve">Tohono O’odham Nation of Arizona</t>
  </si>
  <si>
    <t xml:space="preserve">bia:tolowa-dee-ni</t>
  </si>
  <si>
    <t xml:space="preserve">bia:tonawanda-seneca</t>
  </si>
  <si>
    <t xml:space="preserve">Tonawanda Band of Seneca</t>
  </si>
  <si>
    <t xml:space="preserve">bia:tonkawa</t>
  </si>
  <si>
    <t xml:space="preserve">Tonkawa Tribe of Indians of Oklahoma</t>
  </si>
  <si>
    <t xml:space="preserve">bia:tonto-apache</t>
  </si>
  <si>
    <t xml:space="preserve">Tonto Apache Tribe of Arizona</t>
  </si>
  <si>
    <t xml:space="preserve">bia:torres-martinez</t>
  </si>
  <si>
    <t xml:space="preserve">Torres Martinez Desert Cahuilla Indians, California</t>
  </si>
  <si>
    <t xml:space="preserve">bia:togiak</t>
  </si>
  <si>
    <t xml:space="preserve">Traditional Village of Togiak</t>
  </si>
  <si>
    <t xml:space="preserve">bia:tulalip-tribes</t>
  </si>
  <si>
    <t xml:space="preserve">Tulalip Tribes of Washington</t>
  </si>
  <si>
    <t xml:space="preserve">bia:tule-river</t>
  </si>
  <si>
    <t xml:space="preserve">Tule River Indian Tribe of the Tule River Reservation, California</t>
  </si>
  <si>
    <t xml:space="preserve">bia:tuluksak</t>
  </si>
  <si>
    <t xml:space="preserve">Tuluksak Native Community</t>
  </si>
  <si>
    <t xml:space="preserve">bia:tunica-biloxi</t>
  </si>
  <si>
    <t xml:space="preserve">Tunica-Biloxi Indian Tribe</t>
  </si>
  <si>
    <t xml:space="preserve">bia:tuolumne</t>
  </si>
  <si>
    <t xml:space="preserve">Tuolumne Band of Me-Wuk Indians of the Tuolumne Rancheria of California</t>
  </si>
  <si>
    <t xml:space="preserve">bia:turtle-mountain-chippewa</t>
  </si>
  <si>
    <t xml:space="preserve">Turtle Mountain Band of Chippewa Indians of North Dakota</t>
  </si>
  <si>
    <t xml:space="preserve">bia:tuscarora</t>
  </si>
  <si>
    <t xml:space="preserve">Tuscarora Nation</t>
  </si>
  <si>
    <t xml:space="preserve">bia:twenty-nine-palms</t>
  </si>
  <si>
    <t xml:space="preserve">Twenty-Nine Palms Band of Mission Indians of California</t>
  </si>
  <si>
    <t xml:space="preserve">bia:twin-hills</t>
  </si>
  <si>
    <t xml:space="preserve">Twin Hills Village</t>
  </si>
  <si>
    <t xml:space="preserve">bia:ugashik</t>
  </si>
  <si>
    <t xml:space="preserve">Ugashik Village</t>
  </si>
  <si>
    <t xml:space="preserve">bia:umkumiute</t>
  </si>
  <si>
    <t xml:space="preserve">Umkumiut Native Village</t>
  </si>
  <si>
    <t xml:space="preserve">bia:united-auburn</t>
  </si>
  <si>
    <t xml:space="preserve">United Auburn Indian Community of the Auburn Rancheria of California</t>
  </si>
  <si>
    <t xml:space="preserve">bia:united-keetoowah</t>
  </si>
  <si>
    <t xml:space="preserve">United Keetoowah Band of Cherokee Indians in Oklahoma</t>
  </si>
  <si>
    <t xml:space="preserve">bia:upper-mattaponi</t>
  </si>
  <si>
    <t xml:space="preserve">Upper Mattaponi Tribe</t>
  </si>
  <si>
    <t xml:space="preserve">bia:upper-sioux</t>
  </si>
  <si>
    <t xml:space="preserve">Upper Sioux Community, Minnesota</t>
  </si>
  <si>
    <t xml:space="preserve">bia:upper-skagit</t>
  </si>
  <si>
    <t xml:space="preserve">Upper Skagit Indian Tribe</t>
  </si>
  <si>
    <t xml:space="preserve">bia:ute-indian-tribe</t>
  </si>
  <si>
    <t xml:space="preserve">Ute Indian Tribe of the Uintah &amp; Ouray Reservation, Utah</t>
  </si>
  <si>
    <t xml:space="preserve">bia:ute-mountain-ute</t>
  </si>
  <si>
    <t xml:space="preserve">CO; NM; UT</t>
  </si>
  <si>
    <t xml:space="preserve">bia:utu-utu-gwaitu</t>
  </si>
  <si>
    <t xml:space="preserve">Utu Utu Gwaitu Paiute Tribe of the Benton Paiute Reservation, California</t>
  </si>
  <si>
    <t xml:space="preserve">bia:viejas</t>
  </si>
  <si>
    <t xml:space="preserve">Viejas (Baron Long) Group of Capitan Grande Band of Mission Indians of the Viejas Reservation, California</t>
  </si>
  <si>
    <t xml:space="preserve">bia:alakanuk</t>
  </si>
  <si>
    <t xml:space="preserve">Village of Alakanuk</t>
  </si>
  <si>
    <t xml:space="preserve">bia:anaktuvuk-pass</t>
  </si>
  <si>
    <t xml:space="preserve">Village of Anaktuvuk Pass</t>
  </si>
  <si>
    <t xml:space="preserve">bia:aniak</t>
  </si>
  <si>
    <t xml:space="preserve">Village of Aniak</t>
  </si>
  <si>
    <t xml:space="preserve">bia:atmautluak</t>
  </si>
  <si>
    <t xml:space="preserve">Village of Atmautluak</t>
  </si>
  <si>
    <t xml:space="preserve">bia:bill-moores-slough</t>
  </si>
  <si>
    <t xml:space="preserve">Village of Bill Moore’s Slough</t>
  </si>
  <si>
    <t xml:space="preserve">bia:chefornak</t>
  </si>
  <si>
    <t xml:space="preserve">Village of Chefornak</t>
  </si>
  <si>
    <t xml:space="preserve">bia:clarks-point</t>
  </si>
  <si>
    <t xml:space="preserve">Village of Clarks Point</t>
  </si>
  <si>
    <t xml:space="preserve">bia:crooked-creek</t>
  </si>
  <si>
    <t xml:space="preserve">Village of Crooked Creek</t>
  </si>
  <si>
    <t xml:space="preserve">bia:dot-lake</t>
  </si>
  <si>
    <t xml:space="preserve">Village of Dot Lake</t>
  </si>
  <si>
    <t xml:space="preserve">bia:iliamna</t>
  </si>
  <si>
    <t xml:space="preserve">Village of Iliamna</t>
  </si>
  <si>
    <t xml:space="preserve">bia:kalskag</t>
  </si>
  <si>
    <t xml:space="preserve">Village of Kalskag</t>
  </si>
  <si>
    <t xml:space="preserve">bia:kaltag</t>
  </si>
  <si>
    <t xml:space="preserve">Village of Kaltag</t>
  </si>
  <si>
    <t xml:space="preserve">bia:kotlik</t>
  </si>
  <si>
    <t xml:space="preserve">Village of Kotlik</t>
  </si>
  <si>
    <t xml:space="preserve">bia:lower-kalskag</t>
  </si>
  <si>
    <t xml:space="preserve">Village of Lower Kalskag</t>
  </si>
  <si>
    <t xml:space="preserve">bia:ohogamiut</t>
  </si>
  <si>
    <t xml:space="preserve">Village of Ohogamiut</t>
  </si>
  <si>
    <t xml:space="preserve">bia:red-devil</t>
  </si>
  <si>
    <t xml:space="preserve">Village of Red Devil</t>
  </si>
  <si>
    <t xml:space="preserve">bia:sleetmute</t>
  </si>
  <si>
    <t xml:space="preserve">Village of Sleetmute</t>
  </si>
  <si>
    <t xml:space="preserve">bia:solomon</t>
  </si>
  <si>
    <t xml:space="preserve">Village of Solomon</t>
  </si>
  <si>
    <t xml:space="preserve">bia:stony-river</t>
  </si>
  <si>
    <t xml:space="preserve">Village of Stony River</t>
  </si>
  <si>
    <t xml:space="preserve">bia:wainwright</t>
  </si>
  <si>
    <t xml:space="preserve">Village of Wainwright</t>
  </si>
  <si>
    <t xml:space="preserve">bia:walker-river</t>
  </si>
  <si>
    <t xml:space="preserve">Walker River Paiute Tribe of the Walker River Reservation, Nevada</t>
  </si>
  <si>
    <t xml:space="preserve">bia:wampanoag-aquinnah</t>
  </si>
  <si>
    <t xml:space="preserve">bia:washoe</t>
  </si>
  <si>
    <t xml:space="preserve">Washoe Tribe of Nevada &amp; California (Carson Colony, Dresslerville Colony, Woodfords Community, Stewart Community, &amp; Washoe Ranches)</t>
  </si>
  <si>
    <t xml:space="preserve">NV; CA</t>
  </si>
  <si>
    <t xml:space="preserve">bia:white-mountain-apache</t>
  </si>
  <si>
    <t xml:space="preserve">White Mountain Apache Tribe of the Fort Apache Reservation, Arizona</t>
  </si>
  <si>
    <t xml:space="preserve">bia:wichita-affiliated</t>
  </si>
  <si>
    <t xml:space="preserve">Wichita and Affiliated Tribes (Wichita, Keechi, Waco, &amp; Tawakonie), Oklahoma</t>
  </si>
  <si>
    <t xml:space="preserve">bia:wilton</t>
  </si>
  <si>
    <t xml:space="preserve">Wilton Rancheria, California</t>
  </si>
  <si>
    <t xml:space="preserve">bia:winnebago-nebraska</t>
  </si>
  <si>
    <t xml:space="preserve">Winnebago Tribe of Nebraska</t>
  </si>
  <si>
    <t xml:space="preserve">bia:winnemucca-colony</t>
  </si>
  <si>
    <t xml:space="preserve">Winnemucca Indian Colony of Nevada</t>
  </si>
  <si>
    <t xml:space="preserve">bia:wiyot</t>
  </si>
  <si>
    <t xml:space="preserve">Wiyot Tribe, California</t>
  </si>
  <si>
    <t xml:space="preserve">bia:wrangell</t>
  </si>
  <si>
    <t xml:space="preserve">Wrangell Cooperative Association</t>
  </si>
  <si>
    <t xml:space="preserve">bia:wyandotte</t>
  </si>
  <si>
    <t xml:space="preserve">Wyandotte Nation</t>
  </si>
  <si>
    <t xml:space="preserve">bia:yakutat</t>
  </si>
  <si>
    <t xml:space="preserve">Yakutat Tlingit Tribe</t>
  </si>
  <si>
    <t xml:space="preserve">bia:yankton-sioux</t>
  </si>
  <si>
    <t xml:space="preserve">Yankton Sioux Tribe of South Dakota</t>
  </si>
  <si>
    <t xml:space="preserve">bia:yavapai-apache</t>
  </si>
  <si>
    <t xml:space="preserve">Yavapai-Apache Nation of the Camp Verde Indian Reservation, Arizona</t>
  </si>
  <si>
    <t xml:space="preserve">bia:yavapai-prescott</t>
  </si>
  <si>
    <t xml:space="preserve">Yavapai-Prescott Indian Tribe</t>
  </si>
  <si>
    <t xml:space="preserve">bia:yerington</t>
  </si>
  <si>
    <t xml:space="preserve">Yerington Paiute Tribe of the Yerington Colony &amp; Campbell Ranch, Nevada</t>
  </si>
  <si>
    <t xml:space="preserve">bia:yocha-dehe</t>
  </si>
  <si>
    <t xml:space="preserve">Yocha Dehe Wintun Nation, California</t>
  </si>
  <si>
    <t xml:space="preserve">bia:yomba</t>
  </si>
  <si>
    <t xml:space="preserve">Yomba Shoshone Tribe of the Yomba Reservation, Nevada</t>
  </si>
  <si>
    <t xml:space="preserve">bia:ysleta-del-sur</t>
  </si>
  <si>
    <t xml:space="preserve">Ysleta del Sur Pueblo</t>
  </si>
  <si>
    <t xml:space="preserve">bia:san-manuel</t>
  </si>
  <si>
    <t xml:space="preserve">Yuhaaviatam of San Manuel Nation</t>
  </si>
  <si>
    <t xml:space="preserve">bia:yupiit-andreafski</t>
  </si>
  <si>
    <t xml:space="preserve">Yupiit of Andreafski</t>
  </si>
  <si>
    <t xml:space="preserve">bia:yurok</t>
  </si>
  <si>
    <t xml:space="preserve">Yurok Tribe of the Yurok Reservation, California</t>
  </si>
  <si>
    <t xml:space="preserve">bia:zuni</t>
  </si>
  <si>
    <t xml:space="preserve">Zuni Tribe of the Zuni Reservation, New Mexico</t>
  </si>
  <si>
    <t xml:space="preserve">Tribal Business List Programs — processing summary</t>
  </si>
  <si>
    <t xml:space="preserve">Derived from cedar_source_registry/sources.jsonl, wave 5, generated 2026-08-28. One row per source program in the Programs sheet; counts below are formulas over that sheet.</t>
  </si>
  <si>
    <t xml:space="preserve">Total programs tracked</t>
  </si>
  <si>
    <t xml:space="preserve">By processing status</t>
  </si>
  <si>
    <t xml:space="preserve">By priority class</t>
  </si>
  <si>
    <t xml:space="preserve">By list type (top groups)</t>
  </si>
  <si>
    <t xml:space="preserve">Known list sizes (where a program reports one)</t>
  </si>
  <si>
    <t xml:space="preserve">Programs reporting a record count</t>
  </si>
  <si>
    <t xml:space="preserve">Sum of reported records</t>
  </si>
  <si>
    <t xml:space="preserve">Source: Cedar Press source registry (public program metadata only; no business or personal records). Assembled by Lumecon; per-program authority is each nation's own office.</t>
  </si>
  <si>
    <t xml:space="preserve">Nation-level review coverage (BIA list, 575 entities)</t>
  </si>
  <si>
    <t xml:space="preserve">Nations reviewed</t>
  </si>
  <si>
    <t xml:space="preserve">Nations with at least one list program</t>
  </si>
  <si>
    <t xml:space="preserve">Nations checked with no list found (documented)</t>
  </si>
  <si>
    <t xml:space="preserve">Covered via component bands</t>
  </si>
  <si>
    <t xml:space="preserve">Documented negative checks in total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</si>
</sst>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38"/>
    <col collapsed="false" customWidth="true" hidden="false" outlineLevel="0" max="6" min="6" style="0" width="26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28"/>
    <col collapsed="false" customWidth="true" hidden="false" outlineLevel="0" max="10" min="10" style="0" width="22"/>
    <col collapsed="false" customWidth="true" hidden="false" outlineLevel="0" max="12" min="11" style="0" width="8"/>
    <col collapsed="false" customWidth="true" hidden="false" outlineLevel="0" max="13" min="13" style="0" width="18"/>
    <col collapsed="false" customWidth="true" hidden="false" outlineLevel="0" max="14" min="14" style="0" width="10"/>
    <col collapsed="false" customWidth="true" hidden="false" outlineLevel="0" max="15" min="15" style="0" width="30"/>
    <col collapsed="false" customWidth="true" hidden="false" outlineLevel="0" max="16" min="16" style="0" width="12"/>
    <col collapsed="false" customWidth="true" hidden="false" outlineLevel="0" max="17" min="17" style="0" width="40"/>
    <col collapsed="false" customWidth="true" hidden="false" outlineLevel="0" max="18" min="18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5" hidden="false" customHeight="false" outlineLevel="0" collapsed="false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  <c r="L2" s="2" t="n">
        <v>2</v>
      </c>
      <c r="M2" s="2" t="s">
        <v>29</v>
      </c>
      <c r="N2" s="2"/>
      <c r="O2" s="2" t="s">
        <v>19</v>
      </c>
      <c r="P2" s="2" t="s">
        <v>30</v>
      </c>
      <c r="Q2" s="2" t="s">
        <v>31</v>
      </c>
      <c r="R2" s="2" t="s">
        <v>32</v>
      </c>
    </row>
    <row r="3" customFormat="false" ht="15" hidden="false" customHeight="false" outlineLevel="0" collapsed="false">
      <c r="A3" s="2" t="s">
        <v>33</v>
      </c>
      <c r="B3" s="2" t="s">
        <v>34</v>
      </c>
      <c r="C3" s="2" t="s">
        <v>35</v>
      </c>
      <c r="D3" s="2" t="s">
        <v>21</v>
      </c>
      <c r="E3" s="2" t="s">
        <v>36</v>
      </c>
      <c r="F3" s="2" t="s">
        <v>37</v>
      </c>
      <c r="G3" s="2" t="s">
        <v>24</v>
      </c>
      <c r="H3" s="2" t="s">
        <v>25</v>
      </c>
      <c r="I3" s="2" t="s">
        <v>38</v>
      </c>
      <c r="J3" s="2" t="s">
        <v>39</v>
      </c>
      <c r="K3" s="2" t="s">
        <v>28</v>
      </c>
      <c r="L3" s="2" t="n">
        <v>2</v>
      </c>
      <c r="M3" s="2" t="s">
        <v>29</v>
      </c>
      <c r="N3" s="2"/>
      <c r="O3" s="2" t="s">
        <v>34</v>
      </c>
      <c r="P3" s="2" t="s">
        <v>30</v>
      </c>
      <c r="Q3" s="2" t="s">
        <v>40</v>
      </c>
      <c r="R3" s="2" t="s">
        <v>32</v>
      </c>
    </row>
    <row r="4" customFormat="false" ht="15" hidden="false" customHeight="false" outlineLevel="0" collapsed="false">
      <c r="A4" s="2" t="s">
        <v>41</v>
      </c>
      <c r="B4" s="2" t="s">
        <v>42</v>
      </c>
      <c r="C4" s="2" t="s">
        <v>43</v>
      </c>
      <c r="D4" s="2" t="s">
        <v>44</v>
      </c>
      <c r="E4" s="2" t="s">
        <v>45</v>
      </c>
      <c r="F4" s="2" t="s">
        <v>46</v>
      </c>
      <c r="G4" s="2" t="s">
        <v>24</v>
      </c>
      <c r="H4" s="2" t="s">
        <v>25</v>
      </c>
      <c r="I4" s="2" t="s">
        <v>47</v>
      </c>
      <c r="J4" s="2" t="s">
        <v>48</v>
      </c>
      <c r="K4" s="2" t="s">
        <v>28</v>
      </c>
      <c r="L4" s="2" t="n">
        <v>2</v>
      </c>
      <c r="M4" s="2" t="s">
        <v>29</v>
      </c>
      <c r="N4" s="2"/>
      <c r="O4" s="2" t="s">
        <v>42</v>
      </c>
      <c r="P4" s="2" t="s">
        <v>30</v>
      </c>
      <c r="Q4" s="2" t="s">
        <v>49</v>
      </c>
      <c r="R4" s="2" t="s">
        <v>32</v>
      </c>
    </row>
    <row r="5" customFormat="false" ht="15" hidden="false" customHeight="false" outlineLevel="0" collapsed="false">
      <c r="A5" s="2" t="s">
        <v>50</v>
      </c>
      <c r="B5" s="2" t="s">
        <v>51</v>
      </c>
      <c r="C5" s="2" t="s">
        <v>52</v>
      </c>
      <c r="D5" s="2" t="s">
        <v>21</v>
      </c>
      <c r="E5" s="2" t="s">
        <v>53</v>
      </c>
      <c r="F5" s="2" t="s">
        <v>54</v>
      </c>
      <c r="G5" s="2" t="s">
        <v>55</v>
      </c>
      <c r="H5" s="2" t="s">
        <v>25</v>
      </c>
      <c r="I5" s="2" t="s">
        <v>56</v>
      </c>
      <c r="J5" s="2" t="s">
        <v>57</v>
      </c>
      <c r="K5" s="2" t="s">
        <v>58</v>
      </c>
      <c r="L5" s="2" t="n">
        <v>3</v>
      </c>
      <c r="M5" s="2" t="s">
        <v>59</v>
      </c>
      <c r="N5" s="2"/>
      <c r="O5" s="2" t="s">
        <v>60</v>
      </c>
      <c r="P5" s="2" t="s">
        <v>30</v>
      </c>
      <c r="Q5" s="2" t="s">
        <v>61</v>
      </c>
      <c r="R5" s="2" t="s">
        <v>32</v>
      </c>
    </row>
    <row r="6" customFormat="false" ht="15" hidden="false" customHeight="false" outlineLevel="0" collapsed="false">
      <c r="A6" s="2" t="s">
        <v>62</v>
      </c>
      <c r="B6" s="2" t="s">
        <v>63</v>
      </c>
      <c r="C6" s="2" t="s">
        <v>64</v>
      </c>
      <c r="D6" s="2" t="s">
        <v>21</v>
      </c>
      <c r="E6" s="2" t="s">
        <v>65</v>
      </c>
      <c r="F6" s="2" t="s">
        <v>66</v>
      </c>
      <c r="G6" s="2" t="s">
        <v>24</v>
      </c>
      <c r="H6" s="2" t="s">
        <v>25</v>
      </c>
      <c r="I6" s="2" t="s">
        <v>67</v>
      </c>
      <c r="J6" s="2" t="s">
        <v>68</v>
      </c>
      <c r="K6" s="2" t="s">
        <v>69</v>
      </c>
      <c r="L6" s="2" t="n">
        <v>4</v>
      </c>
      <c r="M6" s="2" t="s">
        <v>29</v>
      </c>
      <c r="N6" s="2"/>
      <c r="O6" s="2" t="s">
        <v>63</v>
      </c>
      <c r="P6" s="2" t="s">
        <v>30</v>
      </c>
      <c r="Q6" s="2" t="s">
        <v>70</v>
      </c>
      <c r="R6" s="2" t="s">
        <v>32</v>
      </c>
    </row>
    <row r="7" customFormat="false" ht="15" hidden="false" customHeight="false" outlineLevel="0" collapsed="false">
      <c r="A7" s="2" t="s">
        <v>71</v>
      </c>
      <c r="B7" s="2" t="s">
        <v>72</v>
      </c>
      <c r="C7" s="2" t="s">
        <v>73</v>
      </c>
      <c r="D7" s="2" t="s">
        <v>21</v>
      </c>
      <c r="E7" s="2" t="s">
        <v>74</v>
      </c>
      <c r="F7" s="2" t="s">
        <v>66</v>
      </c>
      <c r="G7" s="2" t="s">
        <v>24</v>
      </c>
      <c r="H7" s="2" t="s">
        <v>25</v>
      </c>
      <c r="I7" s="2" t="s">
        <v>75</v>
      </c>
      <c r="J7" s="2" t="s">
        <v>27</v>
      </c>
      <c r="K7" s="2" t="s">
        <v>69</v>
      </c>
      <c r="L7" s="2" t="n">
        <v>4</v>
      </c>
      <c r="M7" s="2" t="s">
        <v>29</v>
      </c>
      <c r="N7" s="2" t="s">
        <v>76</v>
      </c>
      <c r="O7" s="2" t="s">
        <v>72</v>
      </c>
      <c r="P7" s="2" t="s">
        <v>30</v>
      </c>
      <c r="Q7" s="2" t="s">
        <v>77</v>
      </c>
      <c r="R7" s="2" t="s">
        <v>32</v>
      </c>
    </row>
    <row r="8" customFormat="false" ht="15" hidden="false" customHeight="false" outlineLevel="0" collapsed="false">
      <c r="A8" s="2" t="s">
        <v>78</v>
      </c>
      <c r="B8" s="2" t="s">
        <v>79</v>
      </c>
      <c r="C8" s="2" t="s">
        <v>80</v>
      </c>
      <c r="D8" s="2" t="s">
        <v>44</v>
      </c>
      <c r="E8" s="2" t="s">
        <v>81</v>
      </c>
      <c r="F8" s="2" t="s">
        <v>66</v>
      </c>
      <c r="G8" s="2" t="s">
        <v>24</v>
      </c>
      <c r="H8" s="2" t="s">
        <v>25</v>
      </c>
      <c r="I8" s="2" t="s">
        <v>82</v>
      </c>
      <c r="J8" s="2" t="s">
        <v>83</v>
      </c>
      <c r="K8" s="2" t="s">
        <v>84</v>
      </c>
      <c r="L8" s="2" t="n">
        <v>5</v>
      </c>
      <c r="M8" s="2" t="s">
        <v>59</v>
      </c>
      <c r="N8" s="2" t="s">
        <v>85</v>
      </c>
      <c r="O8" s="2" t="s">
        <v>86</v>
      </c>
      <c r="P8" s="2" t="s">
        <v>30</v>
      </c>
      <c r="Q8" s="2" t="s">
        <v>87</v>
      </c>
      <c r="R8" s="2" t="s">
        <v>32</v>
      </c>
    </row>
    <row r="9" customFormat="false" ht="15" hidden="false" customHeight="false" outlineLevel="0" collapsed="false">
      <c r="A9" s="2" t="s">
        <v>88</v>
      </c>
      <c r="B9" s="2" t="s">
        <v>89</v>
      </c>
      <c r="C9" s="2" t="s">
        <v>90</v>
      </c>
      <c r="D9" s="2" t="s">
        <v>21</v>
      </c>
      <c r="E9" s="2" t="s">
        <v>91</v>
      </c>
      <c r="F9" s="2" t="s">
        <v>92</v>
      </c>
      <c r="G9" s="2" t="s">
        <v>55</v>
      </c>
      <c r="H9" s="2" t="s">
        <v>25</v>
      </c>
      <c r="I9" s="2" t="s">
        <v>93</v>
      </c>
      <c r="J9" s="2" t="s">
        <v>94</v>
      </c>
      <c r="K9" s="2" t="s">
        <v>28</v>
      </c>
      <c r="L9" s="2" t="n">
        <v>2</v>
      </c>
      <c r="M9" s="2" t="s">
        <v>59</v>
      </c>
      <c r="N9" s="2"/>
      <c r="O9" s="2" t="s">
        <v>89</v>
      </c>
      <c r="P9" s="2" t="s">
        <v>30</v>
      </c>
      <c r="Q9" s="2" t="s">
        <v>95</v>
      </c>
      <c r="R9" s="2" t="s">
        <v>32</v>
      </c>
    </row>
    <row r="10" customFormat="false" ht="15" hidden="false" customHeight="false" outlineLevel="0" collapsed="false">
      <c r="A10" s="2" t="s">
        <v>96</v>
      </c>
      <c r="B10" s="2" t="s">
        <v>97</v>
      </c>
      <c r="C10" s="2" t="s">
        <v>73</v>
      </c>
      <c r="D10" s="2" t="s">
        <v>21</v>
      </c>
      <c r="E10" s="2" t="s">
        <v>98</v>
      </c>
      <c r="F10" s="2" t="s">
        <v>99</v>
      </c>
      <c r="G10" s="2" t="s">
        <v>55</v>
      </c>
      <c r="H10" s="2" t="s">
        <v>25</v>
      </c>
      <c r="I10" s="2" t="s">
        <v>100</v>
      </c>
      <c r="J10" s="2" t="s">
        <v>101</v>
      </c>
      <c r="K10" s="2" t="s">
        <v>28</v>
      </c>
      <c r="L10" s="2" t="n">
        <v>2</v>
      </c>
      <c r="M10" s="2" t="s">
        <v>59</v>
      </c>
      <c r="N10" s="2"/>
      <c r="O10" s="2" t="s">
        <v>97</v>
      </c>
      <c r="P10" s="2" t="s">
        <v>102</v>
      </c>
      <c r="Q10" s="2" t="s">
        <v>103</v>
      </c>
      <c r="R10" s="2" t="s">
        <v>32</v>
      </c>
    </row>
    <row r="11" customFormat="false" ht="15" hidden="false" customHeight="false" outlineLevel="0" collapsed="false">
      <c r="A11" s="2" t="s">
        <v>104</v>
      </c>
      <c r="B11" s="2" t="s">
        <v>105</v>
      </c>
      <c r="C11" s="2" t="s">
        <v>106</v>
      </c>
      <c r="D11" s="2" t="s">
        <v>107</v>
      </c>
      <c r="E11" s="2" t="s">
        <v>108</v>
      </c>
      <c r="F11" s="2" t="s">
        <v>109</v>
      </c>
      <c r="G11" s="2" t="s">
        <v>55</v>
      </c>
      <c r="H11" s="2" t="s">
        <v>25</v>
      </c>
      <c r="I11" s="2" t="s">
        <v>110</v>
      </c>
      <c r="J11" s="2" t="s">
        <v>101</v>
      </c>
      <c r="K11" s="2" t="s">
        <v>28</v>
      </c>
      <c r="L11" s="2" t="n">
        <v>2</v>
      </c>
      <c r="M11" s="2" t="s">
        <v>59</v>
      </c>
      <c r="N11" s="2"/>
      <c r="O11" s="2" t="s">
        <v>111</v>
      </c>
      <c r="P11" s="2" t="s">
        <v>102</v>
      </c>
      <c r="Q11" s="2" t="s">
        <v>112</v>
      </c>
      <c r="R11" s="2" t="s">
        <v>32</v>
      </c>
    </row>
    <row r="12" customFormat="false" ht="15" hidden="false" customHeight="false" outlineLevel="0" collapsed="false">
      <c r="A12" s="2" t="s">
        <v>113</v>
      </c>
      <c r="B12" s="2" t="s">
        <v>114</v>
      </c>
      <c r="C12" s="2" t="s">
        <v>115</v>
      </c>
      <c r="D12" s="2" t="s">
        <v>21</v>
      </c>
      <c r="E12" s="2" t="s">
        <v>116</v>
      </c>
      <c r="F12" s="2" t="s">
        <v>117</v>
      </c>
      <c r="G12" s="2" t="s">
        <v>55</v>
      </c>
      <c r="H12" s="2" t="s">
        <v>25</v>
      </c>
      <c r="I12" s="2" t="s">
        <v>118</v>
      </c>
      <c r="J12" s="2" t="s">
        <v>119</v>
      </c>
      <c r="K12" s="2" t="s">
        <v>58</v>
      </c>
      <c r="L12" s="2" t="n">
        <v>3</v>
      </c>
      <c r="M12" s="2" t="s">
        <v>29</v>
      </c>
      <c r="N12" s="2"/>
      <c r="O12" s="2" t="s">
        <v>114</v>
      </c>
      <c r="P12" s="2" t="s">
        <v>30</v>
      </c>
      <c r="Q12" s="2" t="s">
        <v>120</v>
      </c>
      <c r="R12" s="2" t="s">
        <v>32</v>
      </c>
    </row>
    <row r="13" customFormat="false" ht="15" hidden="false" customHeight="false" outlineLevel="0" collapsed="false">
      <c r="A13" s="2" t="s">
        <v>121</v>
      </c>
      <c r="B13" s="2" t="s">
        <v>122</v>
      </c>
      <c r="C13" s="2" t="s">
        <v>123</v>
      </c>
      <c r="D13" s="2" t="s">
        <v>21</v>
      </c>
      <c r="E13" s="2" t="s">
        <v>124</v>
      </c>
      <c r="F13" s="2" t="s">
        <v>92</v>
      </c>
      <c r="G13" s="2" t="s">
        <v>55</v>
      </c>
      <c r="H13" s="2" t="s">
        <v>25</v>
      </c>
      <c r="I13" s="2" t="s">
        <v>125</v>
      </c>
      <c r="J13" s="2" t="s">
        <v>126</v>
      </c>
      <c r="K13" s="2" t="s">
        <v>58</v>
      </c>
      <c r="L13" s="2" t="n">
        <v>3</v>
      </c>
      <c r="M13" s="2" t="s">
        <v>29</v>
      </c>
      <c r="N13" s="2"/>
      <c r="O13" s="2" t="s">
        <v>122</v>
      </c>
      <c r="P13" s="2" t="s">
        <v>102</v>
      </c>
      <c r="Q13" s="2" t="s">
        <v>127</v>
      </c>
      <c r="R13" s="2" t="s">
        <v>32</v>
      </c>
    </row>
    <row r="14" customFormat="false" ht="15" hidden="false" customHeight="false" outlineLevel="0" collapsed="false">
      <c r="A14" s="2" t="s">
        <v>128</v>
      </c>
      <c r="B14" s="2" t="s">
        <v>129</v>
      </c>
      <c r="C14" s="2" t="s">
        <v>35</v>
      </c>
      <c r="D14" s="2" t="s">
        <v>21</v>
      </c>
      <c r="E14" s="2" t="s">
        <v>130</v>
      </c>
      <c r="F14" s="2" t="s">
        <v>131</v>
      </c>
      <c r="G14" s="2" t="s">
        <v>55</v>
      </c>
      <c r="H14" s="2" t="s">
        <v>25</v>
      </c>
      <c r="I14" s="2" t="s">
        <v>132</v>
      </c>
      <c r="J14" s="2" t="s">
        <v>133</v>
      </c>
      <c r="K14" s="2" t="s">
        <v>58</v>
      </c>
      <c r="L14" s="2" t="n">
        <v>3</v>
      </c>
      <c r="M14" s="2" t="s">
        <v>59</v>
      </c>
      <c r="N14" s="2"/>
      <c r="O14" s="2" t="s">
        <v>129</v>
      </c>
      <c r="P14" s="2" t="s">
        <v>30</v>
      </c>
      <c r="Q14" s="2" t="s">
        <v>134</v>
      </c>
      <c r="R14" s="2" t="s">
        <v>32</v>
      </c>
    </row>
    <row r="15" customFormat="false" ht="15" hidden="false" customHeight="false" outlineLevel="0" collapsed="false">
      <c r="A15" s="2" t="s">
        <v>135</v>
      </c>
      <c r="B15" s="2" t="s">
        <v>136</v>
      </c>
      <c r="C15" s="2" t="s">
        <v>137</v>
      </c>
      <c r="D15" s="2" t="s">
        <v>21</v>
      </c>
      <c r="E15" s="2" t="s">
        <v>138</v>
      </c>
      <c r="F15" s="2" t="s">
        <v>139</v>
      </c>
      <c r="G15" s="2" t="s">
        <v>55</v>
      </c>
      <c r="H15" s="2" t="s">
        <v>25</v>
      </c>
      <c r="I15" s="2" t="s">
        <v>140</v>
      </c>
      <c r="J15" s="2" t="s">
        <v>141</v>
      </c>
      <c r="K15" s="2" t="s">
        <v>58</v>
      </c>
      <c r="L15" s="2" t="n">
        <v>3</v>
      </c>
      <c r="M15" s="2" t="s">
        <v>59</v>
      </c>
      <c r="N15" s="2"/>
      <c r="O15" s="2" t="s">
        <v>136</v>
      </c>
      <c r="P15" s="2" t="s">
        <v>30</v>
      </c>
      <c r="Q15" s="2" t="s">
        <v>142</v>
      </c>
      <c r="R15" s="2" t="s">
        <v>32</v>
      </c>
    </row>
    <row r="16" customFormat="false" ht="15" hidden="false" customHeight="false" outlineLevel="0" collapsed="false">
      <c r="A16" s="2" t="s">
        <v>143</v>
      </c>
      <c r="B16" s="2" t="s">
        <v>144</v>
      </c>
      <c r="C16" s="2" t="s">
        <v>73</v>
      </c>
      <c r="D16" s="2" t="s">
        <v>21</v>
      </c>
      <c r="E16" s="2" t="s">
        <v>145</v>
      </c>
      <c r="F16" s="2" t="s">
        <v>146</v>
      </c>
      <c r="G16" s="2" t="s">
        <v>55</v>
      </c>
      <c r="H16" s="2" t="s">
        <v>25</v>
      </c>
      <c r="I16" s="2" t="s">
        <v>147</v>
      </c>
      <c r="J16" s="2" t="s">
        <v>148</v>
      </c>
      <c r="K16" s="2" t="s">
        <v>58</v>
      </c>
      <c r="L16" s="2" t="n">
        <v>3</v>
      </c>
      <c r="M16" s="2" t="s">
        <v>59</v>
      </c>
      <c r="N16" s="2"/>
      <c r="O16" s="2" t="s">
        <v>144</v>
      </c>
      <c r="P16" s="2" t="s">
        <v>30</v>
      </c>
      <c r="Q16" s="2" t="s">
        <v>149</v>
      </c>
      <c r="R16" s="2" t="s">
        <v>32</v>
      </c>
    </row>
    <row r="17" customFormat="false" ht="15" hidden="false" customHeight="false" outlineLevel="0" collapsed="false">
      <c r="A17" s="2" t="s">
        <v>150</v>
      </c>
      <c r="B17" s="2" t="s">
        <v>151</v>
      </c>
      <c r="C17" s="2" t="s">
        <v>73</v>
      </c>
      <c r="D17" s="2" t="s">
        <v>21</v>
      </c>
      <c r="E17" s="2" t="s">
        <v>152</v>
      </c>
      <c r="F17" s="2" t="s">
        <v>92</v>
      </c>
      <c r="G17" s="2" t="s">
        <v>55</v>
      </c>
      <c r="H17" s="2" t="s">
        <v>25</v>
      </c>
      <c r="I17" s="2" t="s">
        <v>153</v>
      </c>
      <c r="J17" s="2" t="s">
        <v>154</v>
      </c>
      <c r="K17" s="2" t="s">
        <v>58</v>
      </c>
      <c r="L17" s="2" t="n">
        <v>3</v>
      </c>
      <c r="M17" s="2" t="s">
        <v>59</v>
      </c>
      <c r="N17" s="2"/>
      <c r="O17" s="2" t="s">
        <v>151</v>
      </c>
      <c r="P17" s="2" t="s">
        <v>30</v>
      </c>
      <c r="Q17" s="2" t="s">
        <v>155</v>
      </c>
      <c r="R17" s="2" t="s">
        <v>32</v>
      </c>
    </row>
    <row r="18" customFormat="false" ht="15" hidden="false" customHeight="false" outlineLevel="0" collapsed="false">
      <c r="A18" s="2" t="s">
        <v>156</v>
      </c>
      <c r="B18" s="2" t="s">
        <v>157</v>
      </c>
      <c r="C18" s="2" t="s">
        <v>52</v>
      </c>
      <c r="D18" s="2" t="s">
        <v>21</v>
      </c>
      <c r="E18" s="2" t="s">
        <v>158</v>
      </c>
      <c r="F18" s="2" t="s">
        <v>109</v>
      </c>
      <c r="G18" s="2" t="s">
        <v>55</v>
      </c>
      <c r="H18" s="2" t="s">
        <v>25</v>
      </c>
      <c r="I18" s="2" t="s">
        <v>159</v>
      </c>
      <c r="J18" s="2" t="s">
        <v>160</v>
      </c>
      <c r="K18" s="2" t="s">
        <v>58</v>
      </c>
      <c r="L18" s="2" t="n">
        <v>3</v>
      </c>
      <c r="M18" s="2" t="s">
        <v>29</v>
      </c>
      <c r="N18" s="2"/>
      <c r="O18" s="2" t="s">
        <v>161</v>
      </c>
      <c r="P18" s="2" t="s">
        <v>30</v>
      </c>
      <c r="Q18" s="2" t="s">
        <v>162</v>
      </c>
      <c r="R18" s="2" t="s">
        <v>32</v>
      </c>
    </row>
    <row r="19" customFormat="false" ht="15" hidden="false" customHeight="false" outlineLevel="0" collapsed="false">
      <c r="A19" s="2" t="s">
        <v>163</v>
      </c>
      <c r="B19" s="2" t="s">
        <v>164</v>
      </c>
      <c r="C19" s="2" t="s">
        <v>80</v>
      </c>
      <c r="D19" s="2" t="s">
        <v>44</v>
      </c>
      <c r="E19" s="2" t="s">
        <v>108</v>
      </c>
      <c r="F19" s="2" t="s">
        <v>109</v>
      </c>
      <c r="G19" s="2" t="s">
        <v>55</v>
      </c>
      <c r="H19" s="2" t="s">
        <v>25</v>
      </c>
      <c r="I19" s="2" t="s">
        <v>165</v>
      </c>
      <c r="J19" s="2" t="s">
        <v>166</v>
      </c>
      <c r="K19" s="2" t="s">
        <v>58</v>
      </c>
      <c r="L19" s="2" t="n">
        <v>3</v>
      </c>
      <c r="M19" s="2" t="s">
        <v>29</v>
      </c>
      <c r="N19" s="2"/>
      <c r="O19" s="2" t="s">
        <v>167</v>
      </c>
      <c r="P19" s="2" t="s">
        <v>102</v>
      </c>
      <c r="Q19" s="2" t="s">
        <v>168</v>
      </c>
      <c r="R19" s="2" t="s">
        <v>32</v>
      </c>
    </row>
    <row r="20" customFormat="false" ht="15" hidden="false" customHeight="false" outlineLevel="0" collapsed="false">
      <c r="A20" s="2" t="s">
        <v>169</v>
      </c>
      <c r="B20" s="2" t="s">
        <v>170</v>
      </c>
      <c r="C20" s="2" t="s">
        <v>52</v>
      </c>
      <c r="D20" s="2" t="s">
        <v>21</v>
      </c>
      <c r="E20" s="2" t="s">
        <v>171</v>
      </c>
      <c r="F20" s="2" t="s">
        <v>109</v>
      </c>
      <c r="G20" s="2" t="s">
        <v>55</v>
      </c>
      <c r="H20" s="2" t="s">
        <v>25</v>
      </c>
      <c r="I20" s="2" t="s">
        <v>165</v>
      </c>
      <c r="J20" s="2" t="s">
        <v>166</v>
      </c>
      <c r="K20" s="2" t="s">
        <v>58</v>
      </c>
      <c r="L20" s="2" t="n">
        <v>3</v>
      </c>
      <c r="M20" s="2" t="s">
        <v>59</v>
      </c>
      <c r="N20" s="2"/>
      <c r="O20" s="2" t="s">
        <v>172</v>
      </c>
      <c r="P20" s="2" t="s">
        <v>102</v>
      </c>
      <c r="Q20" s="2" t="s">
        <v>173</v>
      </c>
      <c r="R20" s="2" t="s">
        <v>32</v>
      </c>
    </row>
    <row r="21" customFormat="false" ht="15" hidden="false" customHeight="false" outlineLevel="0" collapsed="false">
      <c r="A21" s="2" t="s">
        <v>174</v>
      </c>
      <c r="B21" s="2" t="s">
        <v>175</v>
      </c>
      <c r="C21" s="2" t="s">
        <v>80</v>
      </c>
      <c r="D21" s="2" t="s">
        <v>44</v>
      </c>
      <c r="E21" s="2" t="s">
        <v>176</v>
      </c>
      <c r="F21" s="2" t="s">
        <v>109</v>
      </c>
      <c r="G21" s="2" t="s">
        <v>55</v>
      </c>
      <c r="H21" s="2" t="s">
        <v>25</v>
      </c>
      <c r="I21" s="2" t="s">
        <v>177</v>
      </c>
      <c r="J21" s="2" t="s">
        <v>178</v>
      </c>
      <c r="K21" s="2" t="s">
        <v>58</v>
      </c>
      <c r="L21" s="2" t="n">
        <v>3</v>
      </c>
      <c r="M21" s="2" t="s">
        <v>59</v>
      </c>
      <c r="N21" s="2"/>
      <c r="O21" s="2" t="s">
        <v>179</v>
      </c>
      <c r="P21" s="2" t="s">
        <v>102</v>
      </c>
      <c r="Q21" s="2" t="s">
        <v>180</v>
      </c>
      <c r="R21" s="2" t="s">
        <v>32</v>
      </c>
    </row>
    <row r="22" customFormat="false" ht="15" hidden="false" customHeight="false" outlineLevel="0" collapsed="false">
      <c r="A22" s="2" t="s">
        <v>181</v>
      </c>
      <c r="B22" s="2" t="s">
        <v>182</v>
      </c>
      <c r="C22" s="2" t="s">
        <v>80</v>
      </c>
      <c r="D22" s="2" t="s">
        <v>44</v>
      </c>
      <c r="E22" s="2" t="s">
        <v>183</v>
      </c>
      <c r="F22" s="2" t="s">
        <v>184</v>
      </c>
      <c r="G22" s="2" t="s">
        <v>55</v>
      </c>
      <c r="H22" s="2" t="s">
        <v>25</v>
      </c>
      <c r="I22" s="2" t="s">
        <v>185</v>
      </c>
      <c r="J22" s="2" t="s">
        <v>186</v>
      </c>
      <c r="K22" s="2" t="s">
        <v>58</v>
      </c>
      <c r="L22" s="2" t="n">
        <v>3</v>
      </c>
      <c r="M22" s="2" t="s">
        <v>187</v>
      </c>
      <c r="N22" s="2" t="s">
        <v>188</v>
      </c>
      <c r="O22" s="2" t="s">
        <v>189</v>
      </c>
      <c r="P22" s="2" t="s">
        <v>30</v>
      </c>
      <c r="Q22" s="2" t="s">
        <v>190</v>
      </c>
      <c r="R22" s="2" t="s">
        <v>32</v>
      </c>
    </row>
    <row r="23" customFormat="false" ht="15" hidden="false" customHeight="false" outlineLevel="0" collapsed="false">
      <c r="A23" s="2" t="s">
        <v>191</v>
      </c>
      <c r="B23" s="2" t="s">
        <v>192</v>
      </c>
      <c r="C23" s="2" t="s">
        <v>193</v>
      </c>
      <c r="D23" s="2" t="s">
        <v>21</v>
      </c>
      <c r="E23" s="2" t="s">
        <v>194</v>
      </c>
      <c r="F23" s="2" t="s">
        <v>195</v>
      </c>
      <c r="G23" s="2" t="s">
        <v>55</v>
      </c>
      <c r="H23" s="2" t="s">
        <v>25</v>
      </c>
      <c r="I23" s="2" t="s">
        <v>196</v>
      </c>
      <c r="J23" s="2" t="s">
        <v>197</v>
      </c>
      <c r="K23" s="2" t="s">
        <v>69</v>
      </c>
      <c r="L23" s="2" t="n">
        <v>4</v>
      </c>
      <c r="M23" s="2" t="s">
        <v>29</v>
      </c>
      <c r="N23" s="2"/>
      <c r="O23" s="2" t="s">
        <v>198</v>
      </c>
      <c r="P23" s="2" t="s">
        <v>102</v>
      </c>
      <c r="Q23" s="2" t="s">
        <v>199</v>
      </c>
      <c r="R23" s="2" t="s">
        <v>32</v>
      </c>
    </row>
    <row r="24" customFormat="false" ht="15" hidden="false" customHeight="false" outlineLevel="0" collapsed="false">
      <c r="A24" s="2" t="s">
        <v>200</v>
      </c>
      <c r="B24" s="2" t="s">
        <v>201</v>
      </c>
      <c r="C24" s="2" t="s">
        <v>202</v>
      </c>
      <c r="D24" s="2" t="s">
        <v>21</v>
      </c>
      <c r="E24" s="2" t="s">
        <v>203</v>
      </c>
      <c r="F24" s="2" t="s">
        <v>92</v>
      </c>
      <c r="G24" s="2" t="s">
        <v>55</v>
      </c>
      <c r="H24" s="2" t="s">
        <v>25</v>
      </c>
      <c r="I24" s="2" t="s">
        <v>196</v>
      </c>
      <c r="J24" s="2" t="s">
        <v>204</v>
      </c>
      <c r="K24" s="2" t="s">
        <v>69</v>
      </c>
      <c r="L24" s="2" t="n">
        <v>4</v>
      </c>
      <c r="M24" s="2" t="s">
        <v>59</v>
      </c>
      <c r="N24" s="2"/>
      <c r="O24" s="2" t="s">
        <v>201</v>
      </c>
      <c r="P24" s="2" t="s">
        <v>30</v>
      </c>
      <c r="Q24" s="2" t="s">
        <v>205</v>
      </c>
      <c r="R24" s="2" t="s">
        <v>32</v>
      </c>
    </row>
    <row r="25" customFormat="false" ht="15" hidden="false" customHeight="false" outlineLevel="0" collapsed="false">
      <c r="A25" s="2" t="s">
        <v>206</v>
      </c>
      <c r="B25" s="2" t="s">
        <v>207</v>
      </c>
      <c r="C25" s="2" t="s">
        <v>208</v>
      </c>
      <c r="D25" s="2" t="s">
        <v>21</v>
      </c>
      <c r="E25" s="2" t="s">
        <v>209</v>
      </c>
      <c r="F25" s="2" t="s">
        <v>210</v>
      </c>
      <c r="G25" s="2" t="s">
        <v>55</v>
      </c>
      <c r="H25" s="2" t="s">
        <v>25</v>
      </c>
      <c r="I25" s="2" t="s">
        <v>211</v>
      </c>
      <c r="J25" s="2" t="s">
        <v>212</v>
      </c>
      <c r="K25" s="2" t="s">
        <v>69</v>
      </c>
      <c r="L25" s="2" t="n">
        <v>4</v>
      </c>
      <c r="M25" s="2" t="s">
        <v>59</v>
      </c>
      <c r="N25" s="2" t="s">
        <v>213</v>
      </c>
      <c r="O25" s="2" t="s">
        <v>214</v>
      </c>
      <c r="P25" s="2" t="s">
        <v>102</v>
      </c>
      <c r="Q25" s="2" t="s">
        <v>215</v>
      </c>
      <c r="R25" s="2" t="s">
        <v>32</v>
      </c>
    </row>
    <row r="26" customFormat="false" ht="15" hidden="false" customHeight="false" outlineLevel="0" collapsed="false">
      <c r="A26" s="2" t="s">
        <v>216</v>
      </c>
      <c r="B26" s="2" t="s">
        <v>217</v>
      </c>
      <c r="C26" s="2" t="s">
        <v>80</v>
      </c>
      <c r="D26" s="2" t="s">
        <v>44</v>
      </c>
      <c r="E26" s="2" t="s">
        <v>218</v>
      </c>
      <c r="F26" s="2" t="s">
        <v>219</v>
      </c>
      <c r="G26" s="2" t="s">
        <v>55</v>
      </c>
      <c r="H26" s="2" t="s">
        <v>25</v>
      </c>
      <c r="I26" s="2" t="s">
        <v>220</v>
      </c>
      <c r="J26" s="2" t="s">
        <v>27</v>
      </c>
      <c r="K26" s="2" t="s">
        <v>69</v>
      </c>
      <c r="L26" s="2" t="n">
        <v>4</v>
      </c>
      <c r="M26" s="2" t="s">
        <v>29</v>
      </c>
      <c r="N26" s="2"/>
      <c r="O26" s="2" t="s">
        <v>167</v>
      </c>
      <c r="P26" s="2" t="s">
        <v>102</v>
      </c>
      <c r="Q26" s="2" t="s">
        <v>221</v>
      </c>
      <c r="R26" s="2" t="s">
        <v>32</v>
      </c>
    </row>
    <row r="27" customFormat="false" ht="15" hidden="false" customHeight="false" outlineLevel="0" collapsed="false">
      <c r="A27" s="2" t="s">
        <v>222</v>
      </c>
      <c r="B27" s="2" t="s">
        <v>223</v>
      </c>
      <c r="C27" s="2" t="s">
        <v>224</v>
      </c>
      <c r="D27" s="2" t="s">
        <v>21</v>
      </c>
      <c r="E27" s="2" t="s">
        <v>225</v>
      </c>
      <c r="F27" s="2" t="s">
        <v>109</v>
      </c>
      <c r="G27" s="2" t="s">
        <v>55</v>
      </c>
      <c r="H27" s="2" t="s">
        <v>25</v>
      </c>
      <c r="I27" s="2" t="s">
        <v>226</v>
      </c>
      <c r="J27" s="2" t="s">
        <v>27</v>
      </c>
      <c r="K27" s="2" t="s">
        <v>69</v>
      </c>
      <c r="L27" s="2" t="n">
        <v>4</v>
      </c>
      <c r="M27" s="2" t="s">
        <v>29</v>
      </c>
      <c r="N27" s="2"/>
      <c r="O27" s="2" t="s">
        <v>167</v>
      </c>
      <c r="P27" s="2" t="s">
        <v>102</v>
      </c>
      <c r="Q27" s="2" t="s">
        <v>227</v>
      </c>
      <c r="R27" s="2" t="s">
        <v>32</v>
      </c>
    </row>
    <row r="28" customFormat="false" ht="15" hidden="false" customHeight="false" outlineLevel="0" collapsed="false">
      <c r="A28" s="2" t="s">
        <v>228</v>
      </c>
      <c r="B28" s="2" t="s">
        <v>229</v>
      </c>
      <c r="C28" s="2" t="s">
        <v>230</v>
      </c>
      <c r="D28" s="2" t="s">
        <v>21</v>
      </c>
      <c r="E28" s="2" t="s">
        <v>231</v>
      </c>
      <c r="F28" s="2" t="s">
        <v>109</v>
      </c>
      <c r="G28" s="2" t="s">
        <v>55</v>
      </c>
      <c r="H28" s="2" t="s">
        <v>25</v>
      </c>
      <c r="I28" s="2" t="s">
        <v>220</v>
      </c>
      <c r="J28" s="2" t="s">
        <v>232</v>
      </c>
      <c r="K28" s="2" t="s">
        <v>69</v>
      </c>
      <c r="L28" s="2" t="n">
        <v>4</v>
      </c>
      <c r="M28" s="2" t="s">
        <v>29</v>
      </c>
      <c r="N28" s="2" t="s">
        <v>233</v>
      </c>
      <c r="O28" s="2" t="s">
        <v>234</v>
      </c>
      <c r="P28" s="2" t="s">
        <v>30</v>
      </c>
      <c r="Q28" s="2" t="s">
        <v>235</v>
      </c>
      <c r="R28" s="2" t="s">
        <v>32</v>
      </c>
    </row>
    <row r="29" customFormat="false" ht="15" hidden="false" customHeight="false" outlineLevel="0" collapsed="false">
      <c r="A29" s="2" t="s">
        <v>236</v>
      </c>
      <c r="B29" s="2" t="s">
        <v>237</v>
      </c>
      <c r="C29" s="2" t="s">
        <v>80</v>
      </c>
      <c r="D29" s="2" t="s">
        <v>44</v>
      </c>
      <c r="E29" s="2" t="s">
        <v>238</v>
      </c>
      <c r="F29" s="2" t="s">
        <v>109</v>
      </c>
      <c r="G29" s="2" t="s">
        <v>55</v>
      </c>
      <c r="H29" s="2" t="s">
        <v>25</v>
      </c>
      <c r="I29" s="2" t="s">
        <v>239</v>
      </c>
      <c r="J29" s="2" t="s">
        <v>232</v>
      </c>
      <c r="K29" s="2" t="s">
        <v>69</v>
      </c>
      <c r="L29" s="2" t="n">
        <v>4</v>
      </c>
      <c r="M29" s="2" t="s">
        <v>29</v>
      </c>
      <c r="N29" s="2" t="s">
        <v>240</v>
      </c>
      <c r="O29" s="2" t="s">
        <v>241</v>
      </c>
      <c r="P29" s="2" t="s">
        <v>30</v>
      </c>
      <c r="Q29" s="2" t="s">
        <v>242</v>
      </c>
      <c r="R29" s="2" t="s">
        <v>32</v>
      </c>
    </row>
    <row r="30" customFormat="false" ht="15" hidden="false" customHeight="false" outlineLevel="0" collapsed="false">
      <c r="A30" s="2" t="s">
        <v>243</v>
      </c>
      <c r="B30" s="2" t="s">
        <v>244</v>
      </c>
      <c r="C30" s="2" t="s">
        <v>73</v>
      </c>
      <c r="D30" s="2" t="s">
        <v>21</v>
      </c>
      <c r="E30" s="2" t="s">
        <v>245</v>
      </c>
      <c r="F30" s="2" t="s">
        <v>54</v>
      </c>
      <c r="G30" s="2" t="s">
        <v>55</v>
      </c>
      <c r="H30" s="2" t="s">
        <v>25</v>
      </c>
      <c r="I30" s="2" t="s">
        <v>246</v>
      </c>
      <c r="J30" s="2" t="s">
        <v>247</v>
      </c>
      <c r="K30" s="2" t="s">
        <v>84</v>
      </c>
      <c r="L30" s="2" t="n">
        <v>5</v>
      </c>
      <c r="M30" s="2" t="s">
        <v>59</v>
      </c>
      <c r="N30" s="2"/>
      <c r="O30" s="2" t="s">
        <v>248</v>
      </c>
      <c r="P30" s="2" t="s">
        <v>30</v>
      </c>
      <c r="Q30" s="2" t="s">
        <v>249</v>
      </c>
      <c r="R30" s="2" t="s">
        <v>32</v>
      </c>
    </row>
    <row r="31" customFormat="false" ht="15" hidden="false" customHeight="false" outlineLevel="0" collapsed="false">
      <c r="A31" s="2" t="s">
        <v>250</v>
      </c>
      <c r="B31" s="2" t="s">
        <v>251</v>
      </c>
      <c r="C31" s="2" t="s">
        <v>106</v>
      </c>
      <c r="D31" s="2" t="s">
        <v>107</v>
      </c>
      <c r="E31" s="2" t="s">
        <v>252</v>
      </c>
      <c r="F31" s="2" t="s">
        <v>253</v>
      </c>
      <c r="G31" s="2" t="s">
        <v>254</v>
      </c>
      <c r="H31" s="2" t="s">
        <v>255</v>
      </c>
      <c r="I31" s="2" t="s">
        <v>256</v>
      </c>
      <c r="J31" s="2" t="s">
        <v>257</v>
      </c>
      <c r="K31" s="2" t="s">
        <v>258</v>
      </c>
      <c r="L31" s="2" t="n">
        <v>1</v>
      </c>
      <c r="M31" s="2" t="s">
        <v>187</v>
      </c>
      <c r="N31" s="2"/>
      <c r="O31" s="2" t="s">
        <v>259</v>
      </c>
      <c r="P31" s="2" t="s">
        <v>30</v>
      </c>
      <c r="Q31" s="2" t="s">
        <v>260</v>
      </c>
      <c r="R31" s="2" t="s">
        <v>261</v>
      </c>
    </row>
    <row r="32" customFormat="false" ht="15" hidden="false" customHeight="false" outlineLevel="0" collapsed="false">
      <c r="A32" s="2" t="s">
        <v>262</v>
      </c>
      <c r="B32" s="2" t="s">
        <v>263</v>
      </c>
      <c r="C32" s="2" t="s">
        <v>264</v>
      </c>
      <c r="D32" s="2" t="s">
        <v>107</v>
      </c>
      <c r="E32" s="2" t="s">
        <v>265</v>
      </c>
      <c r="F32" s="2" t="s">
        <v>253</v>
      </c>
      <c r="G32" s="2" t="s">
        <v>254</v>
      </c>
      <c r="H32" s="2" t="s">
        <v>255</v>
      </c>
      <c r="I32" s="2" t="s">
        <v>266</v>
      </c>
      <c r="J32" s="2" t="s">
        <v>267</v>
      </c>
      <c r="K32" s="2" t="s">
        <v>258</v>
      </c>
      <c r="L32" s="2" t="n">
        <v>1</v>
      </c>
      <c r="M32" s="2" t="s">
        <v>268</v>
      </c>
      <c r="N32" s="2"/>
      <c r="O32" s="2" t="s">
        <v>269</v>
      </c>
      <c r="P32" s="2" t="s">
        <v>270</v>
      </c>
      <c r="Q32" s="2" t="s">
        <v>271</v>
      </c>
      <c r="R32" s="2" t="s">
        <v>32</v>
      </c>
    </row>
    <row r="33" customFormat="false" ht="15" hidden="false" customHeight="false" outlineLevel="0" collapsed="false">
      <c r="A33" s="2" t="s">
        <v>272</v>
      </c>
      <c r="B33" s="2" t="s">
        <v>273</v>
      </c>
      <c r="C33" s="2" t="s">
        <v>35</v>
      </c>
      <c r="D33" s="2" t="s">
        <v>107</v>
      </c>
      <c r="E33" s="2" t="s">
        <v>274</v>
      </c>
      <c r="F33" s="2" t="s">
        <v>253</v>
      </c>
      <c r="G33" s="2" t="s">
        <v>254</v>
      </c>
      <c r="H33" s="2" t="s">
        <v>255</v>
      </c>
      <c r="I33" s="2" t="s">
        <v>275</v>
      </c>
      <c r="J33" s="2" t="s">
        <v>276</v>
      </c>
      <c r="K33" s="2" t="s">
        <v>28</v>
      </c>
      <c r="L33" s="2" t="n">
        <v>2</v>
      </c>
      <c r="M33" s="2" t="s">
        <v>268</v>
      </c>
      <c r="N33" s="2"/>
      <c r="O33" s="2" t="s">
        <v>277</v>
      </c>
      <c r="P33" s="2" t="s">
        <v>270</v>
      </c>
      <c r="Q33" s="2" t="s">
        <v>278</v>
      </c>
      <c r="R33" s="2" t="s">
        <v>32</v>
      </c>
    </row>
    <row r="34" customFormat="false" ht="15" hidden="false" customHeight="false" outlineLevel="0" collapsed="false">
      <c r="A34" s="2" t="s">
        <v>279</v>
      </c>
      <c r="B34" s="2" t="s">
        <v>280</v>
      </c>
      <c r="C34" s="2" t="s">
        <v>20</v>
      </c>
      <c r="D34" s="2" t="s">
        <v>21</v>
      </c>
      <c r="E34" s="2" t="s">
        <v>281</v>
      </c>
      <c r="F34" s="2" t="s">
        <v>282</v>
      </c>
      <c r="G34" s="2" t="s">
        <v>283</v>
      </c>
      <c r="H34" s="2" t="s">
        <v>284</v>
      </c>
      <c r="I34" s="2" t="s">
        <v>285</v>
      </c>
      <c r="J34" s="2" t="s">
        <v>286</v>
      </c>
      <c r="K34" s="2" t="s">
        <v>258</v>
      </c>
      <c r="L34" s="2" t="n">
        <v>1</v>
      </c>
      <c r="M34" s="2" t="s">
        <v>29</v>
      </c>
      <c r="N34" s="2"/>
      <c r="O34" s="2" t="s">
        <v>287</v>
      </c>
      <c r="P34" s="2" t="s">
        <v>102</v>
      </c>
      <c r="Q34" s="2" t="s">
        <v>288</v>
      </c>
      <c r="R34" s="2" t="s">
        <v>261</v>
      </c>
    </row>
    <row r="35" customFormat="false" ht="15" hidden="false" customHeight="false" outlineLevel="0" collapsed="false">
      <c r="A35" s="2" t="s">
        <v>289</v>
      </c>
      <c r="B35" s="2" t="s">
        <v>290</v>
      </c>
      <c r="C35" s="2" t="s">
        <v>52</v>
      </c>
      <c r="D35" s="2" t="s">
        <v>107</v>
      </c>
      <c r="E35" s="2" t="s">
        <v>291</v>
      </c>
      <c r="F35" s="2" t="s">
        <v>292</v>
      </c>
      <c r="G35" s="2" t="s">
        <v>283</v>
      </c>
      <c r="H35" s="2" t="s">
        <v>284</v>
      </c>
      <c r="I35" s="2" t="s">
        <v>293</v>
      </c>
      <c r="J35" s="2" t="s">
        <v>294</v>
      </c>
      <c r="K35" s="2" t="s">
        <v>258</v>
      </c>
      <c r="L35" s="2" t="n">
        <v>1</v>
      </c>
      <c r="M35" s="2" t="s">
        <v>29</v>
      </c>
      <c r="N35" s="2"/>
      <c r="O35" s="2" t="s">
        <v>295</v>
      </c>
      <c r="P35" s="2" t="s">
        <v>102</v>
      </c>
      <c r="Q35" s="2" t="s">
        <v>296</v>
      </c>
      <c r="R35" s="2" t="s">
        <v>32</v>
      </c>
    </row>
    <row r="36" customFormat="false" ht="15" hidden="false" customHeight="false" outlineLevel="0" collapsed="false">
      <c r="A36" s="2" t="s">
        <v>297</v>
      </c>
      <c r="B36" s="2" t="s">
        <v>298</v>
      </c>
      <c r="C36" s="2" t="s">
        <v>299</v>
      </c>
      <c r="D36" s="2" t="s">
        <v>21</v>
      </c>
      <c r="E36" s="2" t="s">
        <v>300</v>
      </c>
      <c r="F36" s="2" t="s">
        <v>92</v>
      </c>
      <c r="G36" s="2" t="s">
        <v>55</v>
      </c>
      <c r="H36" s="2" t="s">
        <v>284</v>
      </c>
      <c r="I36" s="2" t="s">
        <v>301</v>
      </c>
      <c r="J36" s="2" t="s">
        <v>302</v>
      </c>
      <c r="K36" s="2" t="s">
        <v>258</v>
      </c>
      <c r="L36" s="2" t="n">
        <v>1</v>
      </c>
      <c r="M36" s="2" t="s">
        <v>29</v>
      </c>
      <c r="N36" s="2"/>
      <c r="O36" s="2" t="s">
        <v>298</v>
      </c>
      <c r="P36" s="2" t="s">
        <v>30</v>
      </c>
      <c r="Q36" s="2" t="s">
        <v>303</v>
      </c>
      <c r="R36" s="2" t="s">
        <v>32</v>
      </c>
    </row>
    <row r="37" customFormat="false" ht="15" hidden="false" customHeight="false" outlineLevel="0" collapsed="false">
      <c r="A37" s="2" t="s">
        <v>304</v>
      </c>
      <c r="B37" s="2" t="s">
        <v>305</v>
      </c>
      <c r="C37" s="2" t="s">
        <v>52</v>
      </c>
      <c r="D37" s="2" t="s">
        <v>107</v>
      </c>
      <c r="E37" s="2" t="s">
        <v>306</v>
      </c>
      <c r="F37" s="2" t="s">
        <v>307</v>
      </c>
      <c r="G37" s="2" t="s">
        <v>308</v>
      </c>
      <c r="H37" s="2" t="s">
        <v>284</v>
      </c>
      <c r="I37" s="2" t="s">
        <v>309</v>
      </c>
      <c r="J37" s="2" t="s">
        <v>310</v>
      </c>
      <c r="K37" s="2" t="s">
        <v>258</v>
      </c>
      <c r="L37" s="2" t="n">
        <v>1</v>
      </c>
      <c r="M37" s="2" t="s">
        <v>268</v>
      </c>
      <c r="N37" s="2"/>
      <c r="O37" s="2" t="s">
        <v>311</v>
      </c>
      <c r="P37" s="2" t="s">
        <v>30</v>
      </c>
      <c r="Q37" s="2" t="s">
        <v>312</v>
      </c>
      <c r="R37" s="2" t="s">
        <v>32</v>
      </c>
    </row>
    <row r="38" customFormat="false" ht="15" hidden="false" customHeight="false" outlineLevel="0" collapsed="false">
      <c r="A38" s="2" t="s">
        <v>313</v>
      </c>
      <c r="B38" s="2" t="s">
        <v>314</v>
      </c>
      <c r="C38" s="2" t="s">
        <v>35</v>
      </c>
      <c r="D38" s="2" t="s">
        <v>107</v>
      </c>
      <c r="E38" s="2" t="s">
        <v>315</v>
      </c>
      <c r="F38" s="2" t="s">
        <v>316</v>
      </c>
      <c r="G38" s="2" t="s">
        <v>283</v>
      </c>
      <c r="H38" s="2" t="s">
        <v>284</v>
      </c>
      <c r="I38" s="2" t="s">
        <v>317</v>
      </c>
      <c r="J38" s="2" t="s">
        <v>318</v>
      </c>
      <c r="K38" s="2" t="s">
        <v>258</v>
      </c>
      <c r="L38" s="2" t="n">
        <v>1</v>
      </c>
      <c r="M38" s="2" t="s">
        <v>29</v>
      </c>
      <c r="N38" s="2"/>
      <c r="O38" s="2" t="s">
        <v>319</v>
      </c>
      <c r="P38" s="2" t="s">
        <v>102</v>
      </c>
      <c r="Q38" s="2" t="s">
        <v>320</v>
      </c>
      <c r="R38" s="2" t="s">
        <v>32</v>
      </c>
    </row>
    <row r="39" customFormat="false" ht="15" hidden="false" customHeight="false" outlineLevel="0" collapsed="false">
      <c r="A39" s="2" t="s">
        <v>321</v>
      </c>
      <c r="B39" s="2" t="s">
        <v>322</v>
      </c>
      <c r="C39" s="2" t="s">
        <v>323</v>
      </c>
      <c r="D39" s="2" t="s">
        <v>107</v>
      </c>
      <c r="E39" s="2" t="s">
        <v>324</v>
      </c>
      <c r="F39" s="2" t="s">
        <v>292</v>
      </c>
      <c r="G39" s="2" t="s">
        <v>283</v>
      </c>
      <c r="H39" s="2" t="s">
        <v>284</v>
      </c>
      <c r="I39" s="2" t="s">
        <v>317</v>
      </c>
      <c r="J39" s="2" t="s">
        <v>325</v>
      </c>
      <c r="K39" s="2" t="s">
        <v>258</v>
      </c>
      <c r="L39" s="2" t="n">
        <v>1</v>
      </c>
      <c r="M39" s="2" t="s">
        <v>29</v>
      </c>
      <c r="N39" s="2"/>
      <c r="O39" s="2" t="s">
        <v>326</v>
      </c>
      <c r="P39" s="2" t="s">
        <v>30</v>
      </c>
      <c r="Q39" s="2" t="s">
        <v>327</v>
      </c>
      <c r="R39" s="2" t="s">
        <v>32</v>
      </c>
    </row>
    <row r="40" customFormat="false" ht="15" hidden="false" customHeight="false" outlineLevel="0" collapsed="false">
      <c r="A40" s="2" t="s">
        <v>328</v>
      </c>
      <c r="B40" s="2" t="s">
        <v>329</v>
      </c>
      <c r="C40" s="2" t="s">
        <v>90</v>
      </c>
      <c r="D40" s="2" t="s">
        <v>107</v>
      </c>
      <c r="E40" s="2" t="s">
        <v>330</v>
      </c>
      <c r="F40" s="2" t="s">
        <v>292</v>
      </c>
      <c r="G40" s="2" t="s">
        <v>283</v>
      </c>
      <c r="H40" s="2" t="s">
        <v>284</v>
      </c>
      <c r="I40" s="2" t="s">
        <v>317</v>
      </c>
      <c r="J40" s="2" t="s">
        <v>331</v>
      </c>
      <c r="K40" s="2" t="s">
        <v>258</v>
      </c>
      <c r="L40" s="2" t="n">
        <v>1</v>
      </c>
      <c r="M40" s="2" t="s">
        <v>29</v>
      </c>
      <c r="N40" s="2"/>
      <c r="O40" s="2" t="s">
        <v>332</v>
      </c>
      <c r="P40" s="2" t="s">
        <v>102</v>
      </c>
      <c r="Q40" s="2" t="s">
        <v>333</v>
      </c>
      <c r="R40" s="2" t="s">
        <v>261</v>
      </c>
    </row>
    <row r="41" customFormat="false" ht="15" hidden="false" customHeight="false" outlineLevel="0" collapsed="false">
      <c r="A41" s="2" t="s">
        <v>334</v>
      </c>
      <c r="B41" s="2" t="s">
        <v>335</v>
      </c>
      <c r="C41" s="2" t="s">
        <v>20</v>
      </c>
      <c r="D41" s="2" t="s">
        <v>21</v>
      </c>
      <c r="E41" s="2" t="s">
        <v>336</v>
      </c>
      <c r="F41" s="2" t="s">
        <v>337</v>
      </c>
      <c r="G41" s="2" t="s">
        <v>55</v>
      </c>
      <c r="H41" s="2" t="s">
        <v>284</v>
      </c>
      <c r="I41" s="2" t="s">
        <v>338</v>
      </c>
      <c r="J41" s="2" t="s">
        <v>339</v>
      </c>
      <c r="K41" s="2" t="s">
        <v>258</v>
      </c>
      <c r="L41" s="2" t="n">
        <v>1</v>
      </c>
      <c r="M41" s="2" t="s">
        <v>29</v>
      </c>
      <c r="N41" s="2"/>
      <c r="O41" s="2" t="s">
        <v>335</v>
      </c>
      <c r="P41" s="2" t="s">
        <v>30</v>
      </c>
      <c r="Q41" s="2" t="s">
        <v>340</v>
      </c>
      <c r="R41" s="2" t="s">
        <v>32</v>
      </c>
    </row>
    <row r="42" customFormat="false" ht="15" hidden="false" customHeight="false" outlineLevel="0" collapsed="false">
      <c r="A42" s="2" t="s">
        <v>341</v>
      </c>
      <c r="B42" s="2" t="s">
        <v>342</v>
      </c>
      <c r="C42" s="2" t="s">
        <v>90</v>
      </c>
      <c r="D42" s="2" t="s">
        <v>107</v>
      </c>
      <c r="E42" s="2" t="s">
        <v>343</v>
      </c>
      <c r="F42" s="2" t="s">
        <v>292</v>
      </c>
      <c r="G42" s="2" t="s">
        <v>283</v>
      </c>
      <c r="H42" s="2" t="s">
        <v>284</v>
      </c>
      <c r="I42" s="2" t="s">
        <v>317</v>
      </c>
      <c r="J42" s="2" t="s">
        <v>344</v>
      </c>
      <c r="K42" s="2" t="s">
        <v>258</v>
      </c>
      <c r="L42" s="2" t="n">
        <v>1</v>
      </c>
      <c r="M42" s="2" t="s">
        <v>29</v>
      </c>
      <c r="N42" s="2"/>
      <c r="O42" s="2" t="s">
        <v>345</v>
      </c>
      <c r="P42" s="2" t="s">
        <v>102</v>
      </c>
      <c r="Q42" s="2" t="s">
        <v>346</v>
      </c>
      <c r="R42" s="2" t="s">
        <v>261</v>
      </c>
    </row>
    <row r="43" customFormat="false" ht="15" hidden="false" customHeight="false" outlineLevel="0" collapsed="false">
      <c r="A43" s="2" t="s">
        <v>347</v>
      </c>
      <c r="B43" s="2" t="s">
        <v>348</v>
      </c>
      <c r="C43" s="2" t="s">
        <v>35</v>
      </c>
      <c r="D43" s="2" t="s">
        <v>107</v>
      </c>
      <c r="E43" s="2" t="s">
        <v>349</v>
      </c>
      <c r="F43" s="2" t="s">
        <v>292</v>
      </c>
      <c r="G43" s="2" t="s">
        <v>283</v>
      </c>
      <c r="H43" s="2" t="s">
        <v>284</v>
      </c>
      <c r="I43" s="2" t="s">
        <v>317</v>
      </c>
      <c r="J43" s="2" t="s">
        <v>350</v>
      </c>
      <c r="K43" s="2" t="s">
        <v>258</v>
      </c>
      <c r="L43" s="2" t="n">
        <v>1</v>
      </c>
      <c r="M43" s="2" t="s">
        <v>268</v>
      </c>
      <c r="N43" s="2"/>
      <c r="O43" s="2" t="s">
        <v>351</v>
      </c>
      <c r="P43" s="2" t="s">
        <v>102</v>
      </c>
      <c r="Q43" s="2" t="s">
        <v>352</v>
      </c>
      <c r="R43" s="2" t="s">
        <v>261</v>
      </c>
    </row>
    <row r="44" customFormat="false" ht="15" hidden="false" customHeight="false" outlineLevel="0" collapsed="false">
      <c r="A44" s="2" t="s">
        <v>353</v>
      </c>
      <c r="B44" s="2" t="s">
        <v>354</v>
      </c>
      <c r="C44" s="2" t="s">
        <v>355</v>
      </c>
      <c r="D44" s="2" t="s">
        <v>107</v>
      </c>
      <c r="E44" s="2" t="s">
        <v>356</v>
      </c>
      <c r="F44" s="2" t="s">
        <v>357</v>
      </c>
      <c r="G44" s="2" t="s">
        <v>283</v>
      </c>
      <c r="H44" s="2" t="s">
        <v>284</v>
      </c>
      <c r="I44" s="2" t="s">
        <v>317</v>
      </c>
      <c r="J44" s="2" t="s">
        <v>358</v>
      </c>
      <c r="K44" s="2" t="s">
        <v>258</v>
      </c>
      <c r="L44" s="2" t="n">
        <v>1</v>
      </c>
      <c r="M44" s="2" t="s">
        <v>268</v>
      </c>
      <c r="N44" s="2"/>
      <c r="O44" s="2" t="s">
        <v>359</v>
      </c>
      <c r="P44" s="2" t="s">
        <v>30</v>
      </c>
      <c r="Q44" s="2" t="s">
        <v>360</v>
      </c>
      <c r="R44" s="2" t="s">
        <v>32</v>
      </c>
    </row>
    <row r="45" customFormat="false" ht="15" hidden="false" customHeight="false" outlineLevel="0" collapsed="false">
      <c r="A45" s="2" t="s">
        <v>361</v>
      </c>
      <c r="B45" s="2" t="s">
        <v>362</v>
      </c>
      <c r="C45" s="2" t="s">
        <v>363</v>
      </c>
      <c r="D45" s="2" t="s">
        <v>107</v>
      </c>
      <c r="E45" s="2" t="s">
        <v>364</v>
      </c>
      <c r="F45" s="2" t="s">
        <v>365</v>
      </c>
      <c r="G45" s="2" t="s">
        <v>283</v>
      </c>
      <c r="H45" s="2" t="s">
        <v>284</v>
      </c>
      <c r="I45" s="2" t="s">
        <v>366</v>
      </c>
      <c r="J45" s="2" t="s">
        <v>367</v>
      </c>
      <c r="K45" s="2" t="s">
        <v>258</v>
      </c>
      <c r="L45" s="2" t="n">
        <v>1</v>
      </c>
      <c r="M45" s="2" t="s">
        <v>268</v>
      </c>
      <c r="N45" s="2"/>
      <c r="O45" s="2" t="s">
        <v>368</v>
      </c>
      <c r="P45" s="2" t="s">
        <v>30</v>
      </c>
      <c r="Q45" s="2" t="s">
        <v>369</v>
      </c>
      <c r="R45" s="2" t="s">
        <v>261</v>
      </c>
    </row>
    <row r="46" customFormat="false" ht="15" hidden="false" customHeight="false" outlineLevel="0" collapsed="false">
      <c r="A46" s="2" t="s">
        <v>370</v>
      </c>
      <c r="B46" s="2" t="s">
        <v>371</v>
      </c>
      <c r="C46" s="2" t="s">
        <v>73</v>
      </c>
      <c r="D46" s="2" t="s">
        <v>107</v>
      </c>
      <c r="E46" s="2" t="s">
        <v>372</v>
      </c>
      <c r="F46" s="2" t="s">
        <v>292</v>
      </c>
      <c r="G46" s="2" t="s">
        <v>283</v>
      </c>
      <c r="H46" s="2" t="s">
        <v>284</v>
      </c>
      <c r="I46" s="2" t="s">
        <v>317</v>
      </c>
      <c r="J46" s="2" t="s">
        <v>373</v>
      </c>
      <c r="K46" s="2" t="s">
        <v>258</v>
      </c>
      <c r="L46" s="2" t="n">
        <v>1</v>
      </c>
      <c r="M46" s="2" t="s">
        <v>268</v>
      </c>
      <c r="N46" s="2"/>
      <c r="O46" s="2" t="s">
        <v>374</v>
      </c>
      <c r="P46" s="2" t="s">
        <v>30</v>
      </c>
      <c r="Q46" s="2" t="s">
        <v>375</v>
      </c>
      <c r="R46" s="2" t="s">
        <v>32</v>
      </c>
    </row>
    <row r="47" customFormat="false" ht="15" hidden="false" customHeight="false" outlineLevel="0" collapsed="false">
      <c r="A47" s="2" t="s">
        <v>376</v>
      </c>
      <c r="B47" s="2" t="s">
        <v>377</v>
      </c>
      <c r="C47" s="2" t="s">
        <v>73</v>
      </c>
      <c r="D47" s="2" t="s">
        <v>107</v>
      </c>
      <c r="E47" s="2" t="s">
        <v>378</v>
      </c>
      <c r="F47" s="2" t="s">
        <v>292</v>
      </c>
      <c r="G47" s="2" t="s">
        <v>283</v>
      </c>
      <c r="H47" s="2" t="s">
        <v>284</v>
      </c>
      <c r="I47" s="2" t="s">
        <v>317</v>
      </c>
      <c r="J47" s="2" t="s">
        <v>379</v>
      </c>
      <c r="K47" s="2" t="s">
        <v>258</v>
      </c>
      <c r="L47" s="2" t="n">
        <v>1</v>
      </c>
      <c r="M47" s="2" t="s">
        <v>268</v>
      </c>
      <c r="N47" s="2"/>
      <c r="O47" s="2" t="s">
        <v>380</v>
      </c>
      <c r="P47" s="2" t="s">
        <v>30</v>
      </c>
      <c r="Q47" s="2" t="s">
        <v>381</v>
      </c>
      <c r="R47" s="2" t="s">
        <v>32</v>
      </c>
    </row>
    <row r="48" customFormat="false" ht="15" hidden="false" customHeight="false" outlineLevel="0" collapsed="false">
      <c r="A48" s="2" t="s">
        <v>382</v>
      </c>
      <c r="B48" s="2" t="s">
        <v>383</v>
      </c>
      <c r="C48" s="2" t="s">
        <v>73</v>
      </c>
      <c r="D48" s="2" t="s">
        <v>107</v>
      </c>
      <c r="E48" s="2" t="s">
        <v>384</v>
      </c>
      <c r="F48" s="2" t="s">
        <v>292</v>
      </c>
      <c r="G48" s="2" t="s">
        <v>283</v>
      </c>
      <c r="H48" s="2" t="s">
        <v>284</v>
      </c>
      <c r="I48" s="2" t="s">
        <v>317</v>
      </c>
      <c r="J48" s="2" t="s">
        <v>385</v>
      </c>
      <c r="K48" s="2" t="s">
        <v>258</v>
      </c>
      <c r="L48" s="2" t="n">
        <v>1</v>
      </c>
      <c r="M48" s="2" t="s">
        <v>268</v>
      </c>
      <c r="N48" s="2"/>
      <c r="O48" s="2" t="s">
        <v>386</v>
      </c>
      <c r="P48" s="2" t="s">
        <v>30</v>
      </c>
      <c r="Q48" s="2" t="s">
        <v>387</v>
      </c>
      <c r="R48" s="2" t="s">
        <v>32</v>
      </c>
    </row>
    <row r="49" customFormat="false" ht="15" hidden="false" customHeight="false" outlineLevel="0" collapsed="false">
      <c r="A49" s="2" t="s">
        <v>388</v>
      </c>
      <c r="B49" s="2" t="s">
        <v>389</v>
      </c>
      <c r="C49" s="2" t="s">
        <v>73</v>
      </c>
      <c r="D49" s="2" t="s">
        <v>107</v>
      </c>
      <c r="E49" s="2" t="s">
        <v>390</v>
      </c>
      <c r="F49" s="2" t="s">
        <v>292</v>
      </c>
      <c r="G49" s="2" t="s">
        <v>283</v>
      </c>
      <c r="H49" s="2" t="s">
        <v>284</v>
      </c>
      <c r="I49" s="2" t="s">
        <v>391</v>
      </c>
      <c r="J49" s="2" t="s">
        <v>392</v>
      </c>
      <c r="K49" s="2" t="s">
        <v>258</v>
      </c>
      <c r="L49" s="2" t="n">
        <v>1</v>
      </c>
      <c r="M49" s="2" t="s">
        <v>29</v>
      </c>
      <c r="N49" s="2"/>
      <c r="O49" s="2" t="s">
        <v>393</v>
      </c>
      <c r="P49" s="2" t="s">
        <v>30</v>
      </c>
      <c r="Q49" s="2" t="s">
        <v>394</v>
      </c>
      <c r="R49" s="2" t="s">
        <v>32</v>
      </c>
    </row>
    <row r="50" customFormat="false" ht="15" hidden="false" customHeight="false" outlineLevel="0" collapsed="false">
      <c r="A50" s="2" t="s">
        <v>395</v>
      </c>
      <c r="B50" s="2" t="s">
        <v>396</v>
      </c>
      <c r="C50" s="2" t="s">
        <v>202</v>
      </c>
      <c r="D50" s="2" t="s">
        <v>107</v>
      </c>
      <c r="E50" s="2" t="s">
        <v>397</v>
      </c>
      <c r="F50" s="2" t="s">
        <v>292</v>
      </c>
      <c r="G50" s="2" t="s">
        <v>283</v>
      </c>
      <c r="H50" s="2" t="s">
        <v>284</v>
      </c>
      <c r="I50" s="2" t="s">
        <v>398</v>
      </c>
      <c r="J50" s="2" t="s">
        <v>344</v>
      </c>
      <c r="K50" s="2" t="s">
        <v>258</v>
      </c>
      <c r="L50" s="2" t="n">
        <v>1</v>
      </c>
      <c r="M50" s="2" t="s">
        <v>268</v>
      </c>
      <c r="N50" s="2"/>
      <c r="O50" s="2" t="s">
        <v>399</v>
      </c>
      <c r="P50" s="2" t="s">
        <v>30</v>
      </c>
      <c r="Q50" s="2" t="s">
        <v>400</v>
      </c>
      <c r="R50" s="2" t="s">
        <v>32</v>
      </c>
    </row>
    <row r="51" customFormat="false" ht="15" hidden="false" customHeight="false" outlineLevel="0" collapsed="false">
      <c r="A51" s="2" t="s">
        <v>401</v>
      </c>
      <c r="B51" s="2" t="s">
        <v>402</v>
      </c>
      <c r="C51" s="2" t="s">
        <v>403</v>
      </c>
      <c r="D51" s="2" t="s">
        <v>107</v>
      </c>
      <c r="E51" s="2" t="s">
        <v>404</v>
      </c>
      <c r="F51" s="2" t="s">
        <v>405</v>
      </c>
      <c r="G51" s="2" t="s">
        <v>283</v>
      </c>
      <c r="H51" s="2" t="s">
        <v>284</v>
      </c>
      <c r="I51" s="2" t="s">
        <v>406</v>
      </c>
      <c r="J51" s="2" t="s">
        <v>407</v>
      </c>
      <c r="K51" s="2" t="s">
        <v>258</v>
      </c>
      <c r="L51" s="2" t="n">
        <v>1</v>
      </c>
      <c r="M51" s="2" t="s">
        <v>187</v>
      </c>
      <c r="N51" s="2"/>
      <c r="O51" s="2" t="s">
        <v>408</v>
      </c>
      <c r="P51" s="2" t="s">
        <v>30</v>
      </c>
      <c r="Q51" s="2" t="s">
        <v>409</v>
      </c>
      <c r="R51" s="2" t="s">
        <v>32</v>
      </c>
    </row>
    <row r="52" customFormat="false" ht="15" hidden="false" customHeight="false" outlineLevel="0" collapsed="false">
      <c r="A52" s="2" t="s">
        <v>410</v>
      </c>
      <c r="B52" s="2" t="s">
        <v>411</v>
      </c>
      <c r="C52" s="2" t="s">
        <v>20</v>
      </c>
      <c r="D52" s="2" t="s">
        <v>107</v>
      </c>
      <c r="E52" s="2" t="s">
        <v>412</v>
      </c>
      <c r="F52" s="2" t="s">
        <v>413</v>
      </c>
      <c r="G52" s="2" t="s">
        <v>283</v>
      </c>
      <c r="H52" s="2" t="s">
        <v>284</v>
      </c>
      <c r="I52" s="2" t="s">
        <v>414</v>
      </c>
      <c r="J52" s="2" t="s">
        <v>415</v>
      </c>
      <c r="K52" s="2" t="s">
        <v>258</v>
      </c>
      <c r="L52" s="2" t="n">
        <v>1</v>
      </c>
      <c r="M52" s="2" t="s">
        <v>29</v>
      </c>
      <c r="N52" s="2"/>
      <c r="O52" s="2" t="s">
        <v>416</v>
      </c>
      <c r="P52" s="2" t="s">
        <v>102</v>
      </c>
      <c r="Q52" s="2" t="s">
        <v>417</v>
      </c>
      <c r="R52" s="2" t="s">
        <v>261</v>
      </c>
    </row>
    <row r="53" customFormat="false" ht="15" hidden="false" customHeight="false" outlineLevel="0" collapsed="false">
      <c r="A53" s="2" t="s">
        <v>418</v>
      </c>
      <c r="B53" s="2" t="s">
        <v>419</v>
      </c>
      <c r="C53" s="2" t="s">
        <v>90</v>
      </c>
      <c r="D53" s="2" t="s">
        <v>107</v>
      </c>
      <c r="E53" s="2" t="s">
        <v>420</v>
      </c>
      <c r="F53" s="2" t="s">
        <v>292</v>
      </c>
      <c r="G53" s="2" t="s">
        <v>283</v>
      </c>
      <c r="H53" s="2" t="s">
        <v>284</v>
      </c>
      <c r="I53" s="2" t="s">
        <v>421</v>
      </c>
      <c r="J53" s="2" t="s">
        <v>422</v>
      </c>
      <c r="K53" s="2" t="s">
        <v>258</v>
      </c>
      <c r="L53" s="2" t="n">
        <v>1</v>
      </c>
      <c r="M53" s="2" t="s">
        <v>268</v>
      </c>
      <c r="N53" s="2"/>
      <c r="O53" s="2" t="s">
        <v>423</v>
      </c>
      <c r="P53" s="2" t="s">
        <v>102</v>
      </c>
      <c r="Q53" s="2" t="s">
        <v>424</v>
      </c>
      <c r="R53" s="2" t="s">
        <v>32</v>
      </c>
    </row>
    <row r="54" customFormat="false" ht="15" hidden="false" customHeight="false" outlineLevel="0" collapsed="false">
      <c r="A54" s="2" t="s">
        <v>425</v>
      </c>
      <c r="B54" s="2" t="s">
        <v>426</v>
      </c>
      <c r="C54" s="2" t="s">
        <v>427</v>
      </c>
      <c r="D54" s="2" t="s">
        <v>107</v>
      </c>
      <c r="E54" s="2" t="s">
        <v>428</v>
      </c>
      <c r="F54" s="2" t="s">
        <v>292</v>
      </c>
      <c r="G54" s="2" t="s">
        <v>283</v>
      </c>
      <c r="H54" s="2" t="s">
        <v>284</v>
      </c>
      <c r="I54" s="2" t="s">
        <v>398</v>
      </c>
      <c r="J54" s="2" t="s">
        <v>344</v>
      </c>
      <c r="K54" s="2" t="s">
        <v>258</v>
      </c>
      <c r="L54" s="2" t="n">
        <v>1</v>
      </c>
      <c r="M54" s="2" t="s">
        <v>268</v>
      </c>
      <c r="N54" s="2"/>
      <c r="O54" s="2" t="s">
        <v>429</v>
      </c>
      <c r="P54" s="2" t="s">
        <v>30</v>
      </c>
      <c r="Q54" s="2" t="s">
        <v>430</v>
      </c>
      <c r="R54" s="2" t="s">
        <v>261</v>
      </c>
    </row>
    <row r="55" customFormat="false" ht="15" hidden="false" customHeight="false" outlineLevel="0" collapsed="false">
      <c r="A55" s="2" t="s">
        <v>431</v>
      </c>
      <c r="B55" s="2" t="s">
        <v>432</v>
      </c>
      <c r="C55" s="2" t="s">
        <v>115</v>
      </c>
      <c r="D55" s="2" t="s">
        <v>107</v>
      </c>
      <c r="E55" s="2" t="s">
        <v>433</v>
      </c>
      <c r="F55" s="2" t="s">
        <v>292</v>
      </c>
      <c r="G55" s="2" t="s">
        <v>283</v>
      </c>
      <c r="H55" s="2" t="s">
        <v>284</v>
      </c>
      <c r="I55" s="2" t="s">
        <v>434</v>
      </c>
      <c r="J55" s="2" t="s">
        <v>435</v>
      </c>
      <c r="K55" s="2" t="s">
        <v>258</v>
      </c>
      <c r="L55" s="2" t="n">
        <v>1</v>
      </c>
      <c r="M55" s="2" t="s">
        <v>268</v>
      </c>
      <c r="N55" s="2"/>
      <c r="O55" s="2" t="s">
        <v>436</v>
      </c>
      <c r="P55" s="2" t="s">
        <v>102</v>
      </c>
      <c r="Q55" s="2" t="s">
        <v>437</v>
      </c>
      <c r="R55" s="2" t="s">
        <v>261</v>
      </c>
    </row>
    <row r="56" customFormat="false" ht="15" hidden="false" customHeight="false" outlineLevel="0" collapsed="false">
      <c r="A56" s="2" t="s">
        <v>438</v>
      </c>
      <c r="B56" s="2" t="s">
        <v>439</v>
      </c>
      <c r="C56" s="2" t="s">
        <v>440</v>
      </c>
      <c r="D56" s="2" t="s">
        <v>107</v>
      </c>
      <c r="E56" s="2" t="s">
        <v>441</v>
      </c>
      <c r="F56" s="2" t="s">
        <v>292</v>
      </c>
      <c r="G56" s="2" t="s">
        <v>283</v>
      </c>
      <c r="H56" s="2" t="s">
        <v>284</v>
      </c>
      <c r="I56" s="2" t="s">
        <v>398</v>
      </c>
      <c r="J56" s="2" t="s">
        <v>344</v>
      </c>
      <c r="K56" s="2" t="s">
        <v>258</v>
      </c>
      <c r="L56" s="2" t="n">
        <v>1</v>
      </c>
      <c r="M56" s="2" t="s">
        <v>268</v>
      </c>
      <c r="N56" s="2"/>
      <c r="O56" s="2" t="s">
        <v>442</v>
      </c>
      <c r="P56" s="2" t="s">
        <v>30</v>
      </c>
      <c r="Q56" s="2" t="s">
        <v>443</v>
      </c>
      <c r="R56" s="2" t="s">
        <v>261</v>
      </c>
    </row>
    <row r="57" customFormat="false" ht="15" hidden="false" customHeight="false" outlineLevel="0" collapsed="false">
      <c r="A57" s="2" t="s">
        <v>444</v>
      </c>
      <c r="B57" s="2" t="s">
        <v>445</v>
      </c>
      <c r="C57" s="2" t="s">
        <v>446</v>
      </c>
      <c r="D57" s="2" t="s">
        <v>107</v>
      </c>
      <c r="E57" s="2" t="s">
        <v>447</v>
      </c>
      <c r="F57" s="2" t="s">
        <v>448</v>
      </c>
      <c r="G57" s="2" t="s">
        <v>283</v>
      </c>
      <c r="H57" s="2" t="s">
        <v>284</v>
      </c>
      <c r="I57" s="2" t="s">
        <v>449</v>
      </c>
      <c r="J57" s="2" t="s">
        <v>450</v>
      </c>
      <c r="K57" s="2" t="s">
        <v>258</v>
      </c>
      <c r="L57" s="2" t="n">
        <v>1</v>
      </c>
      <c r="M57" s="2" t="s">
        <v>29</v>
      </c>
      <c r="N57" s="2"/>
      <c r="O57" s="2" t="s">
        <v>451</v>
      </c>
      <c r="P57" s="2" t="s">
        <v>30</v>
      </c>
      <c r="Q57" s="2" t="s">
        <v>452</v>
      </c>
      <c r="R57" s="2" t="s">
        <v>261</v>
      </c>
    </row>
    <row r="58" customFormat="false" ht="15" hidden="false" customHeight="false" outlineLevel="0" collapsed="false">
      <c r="A58" s="2" t="s">
        <v>453</v>
      </c>
      <c r="B58" s="2" t="s">
        <v>454</v>
      </c>
      <c r="C58" s="2" t="s">
        <v>455</v>
      </c>
      <c r="D58" s="2" t="s">
        <v>107</v>
      </c>
      <c r="E58" s="2" t="s">
        <v>456</v>
      </c>
      <c r="F58" s="2" t="s">
        <v>292</v>
      </c>
      <c r="G58" s="2" t="s">
        <v>283</v>
      </c>
      <c r="H58" s="2" t="s">
        <v>284</v>
      </c>
      <c r="I58" s="2" t="s">
        <v>398</v>
      </c>
      <c r="J58" s="2" t="s">
        <v>457</v>
      </c>
      <c r="K58" s="2" t="s">
        <v>258</v>
      </c>
      <c r="L58" s="2" t="n">
        <v>1</v>
      </c>
      <c r="M58" s="2" t="s">
        <v>268</v>
      </c>
      <c r="N58" s="2"/>
      <c r="O58" s="2" t="s">
        <v>458</v>
      </c>
      <c r="P58" s="2" t="s">
        <v>30</v>
      </c>
      <c r="Q58" s="2" t="s">
        <v>459</v>
      </c>
      <c r="R58" s="2" t="s">
        <v>32</v>
      </c>
    </row>
    <row r="59" customFormat="false" ht="15" hidden="false" customHeight="false" outlineLevel="0" collapsed="false">
      <c r="A59" s="2" t="s">
        <v>460</v>
      </c>
      <c r="B59" s="2" t="s">
        <v>461</v>
      </c>
      <c r="C59" s="2" t="s">
        <v>73</v>
      </c>
      <c r="D59" s="2" t="s">
        <v>107</v>
      </c>
      <c r="E59" s="2" t="s">
        <v>462</v>
      </c>
      <c r="F59" s="2" t="s">
        <v>292</v>
      </c>
      <c r="G59" s="2" t="s">
        <v>283</v>
      </c>
      <c r="H59" s="2" t="s">
        <v>284</v>
      </c>
      <c r="I59" s="2" t="s">
        <v>398</v>
      </c>
      <c r="J59" s="2" t="s">
        <v>344</v>
      </c>
      <c r="K59" s="2" t="s">
        <v>258</v>
      </c>
      <c r="L59" s="2" t="n">
        <v>1</v>
      </c>
      <c r="M59" s="2" t="s">
        <v>268</v>
      </c>
      <c r="N59" s="2"/>
      <c r="O59" s="2" t="s">
        <v>463</v>
      </c>
      <c r="P59" s="2" t="s">
        <v>30</v>
      </c>
      <c r="Q59" s="2" t="s">
        <v>464</v>
      </c>
      <c r="R59" s="2" t="s">
        <v>32</v>
      </c>
    </row>
    <row r="60" customFormat="false" ht="15" hidden="false" customHeight="false" outlineLevel="0" collapsed="false">
      <c r="A60" s="2" t="s">
        <v>465</v>
      </c>
      <c r="B60" s="2" t="s">
        <v>466</v>
      </c>
      <c r="C60" s="2" t="s">
        <v>52</v>
      </c>
      <c r="D60" s="2" t="s">
        <v>107</v>
      </c>
      <c r="E60" s="2" t="s">
        <v>467</v>
      </c>
      <c r="F60" s="2" t="s">
        <v>292</v>
      </c>
      <c r="G60" s="2" t="s">
        <v>283</v>
      </c>
      <c r="H60" s="2" t="s">
        <v>284</v>
      </c>
      <c r="I60" s="2" t="s">
        <v>317</v>
      </c>
      <c r="J60" s="2" t="s">
        <v>468</v>
      </c>
      <c r="K60" s="2" t="s">
        <v>258</v>
      </c>
      <c r="L60" s="2" t="n">
        <v>1</v>
      </c>
      <c r="M60" s="2" t="s">
        <v>268</v>
      </c>
      <c r="N60" s="2"/>
      <c r="O60" s="2" t="s">
        <v>469</v>
      </c>
      <c r="P60" s="2" t="s">
        <v>30</v>
      </c>
      <c r="Q60" s="2" t="s">
        <v>470</v>
      </c>
      <c r="R60" s="2" t="s">
        <v>32</v>
      </c>
    </row>
    <row r="61" customFormat="false" ht="15" hidden="false" customHeight="false" outlineLevel="0" collapsed="false">
      <c r="A61" s="2" t="s">
        <v>471</v>
      </c>
      <c r="B61" s="2" t="s">
        <v>472</v>
      </c>
      <c r="C61" s="2" t="s">
        <v>35</v>
      </c>
      <c r="D61" s="2" t="s">
        <v>107</v>
      </c>
      <c r="E61" s="2" t="s">
        <v>473</v>
      </c>
      <c r="F61" s="2" t="s">
        <v>292</v>
      </c>
      <c r="G61" s="2" t="s">
        <v>283</v>
      </c>
      <c r="H61" s="2" t="s">
        <v>284</v>
      </c>
      <c r="I61" s="2" t="s">
        <v>474</v>
      </c>
      <c r="J61" s="2" t="s">
        <v>385</v>
      </c>
      <c r="K61" s="2" t="s">
        <v>258</v>
      </c>
      <c r="L61" s="2" t="n">
        <v>1</v>
      </c>
      <c r="M61" s="2" t="s">
        <v>29</v>
      </c>
      <c r="N61" s="2"/>
      <c r="O61" s="2" t="s">
        <v>475</v>
      </c>
      <c r="P61" s="2" t="s">
        <v>30</v>
      </c>
      <c r="Q61" s="2" t="s">
        <v>476</v>
      </c>
      <c r="R61" s="2" t="s">
        <v>261</v>
      </c>
    </row>
    <row r="62" customFormat="false" ht="15" hidden="false" customHeight="false" outlineLevel="0" collapsed="false">
      <c r="A62" s="2" t="s">
        <v>477</v>
      </c>
      <c r="B62" s="2" t="s">
        <v>478</v>
      </c>
      <c r="C62" s="2" t="s">
        <v>35</v>
      </c>
      <c r="D62" s="2" t="s">
        <v>107</v>
      </c>
      <c r="E62" s="2" t="s">
        <v>479</v>
      </c>
      <c r="F62" s="2" t="s">
        <v>292</v>
      </c>
      <c r="G62" s="2" t="s">
        <v>283</v>
      </c>
      <c r="H62" s="2" t="s">
        <v>284</v>
      </c>
      <c r="I62" s="2" t="s">
        <v>317</v>
      </c>
      <c r="J62" s="2" t="s">
        <v>331</v>
      </c>
      <c r="K62" s="2" t="s">
        <v>258</v>
      </c>
      <c r="L62" s="2" t="n">
        <v>1</v>
      </c>
      <c r="M62" s="2" t="s">
        <v>268</v>
      </c>
      <c r="N62" s="2"/>
      <c r="O62" s="2" t="s">
        <v>480</v>
      </c>
      <c r="P62" s="2" t="s">
        <v>30</v>
      </c>
      <c r="Q62" s="2" t="s">
        <v>481</v>
      </c>
      <c r="R62" s="2" t="s">
        <v>32</v>
      </c>
    </row>
    <row r="63" customFormat="false" ht="15" hidden="false" customHeight="false" outlineLevel="0" collapsed="false">
      <c r="A63" s="2" t="s">
        <v>482</v>
      </c>
      <c r="B63" s="2" t="s">
        <v>483</v>
      </c>
      <c r="C63" s="2" t="s">
        <v>35</v>
      </c>
      <c r="D63" s="2" t="s">
        <v>107</v>
      </c>
      <c r="E63" s="2" t="s">
        <v>484</v>
      </c>
      <c r="F63" s="2" t="s">
        <v>292</v>
      </c>
      <c r="G63" s="2" t="s">
        <v>283</v>
      </c>
      <c r="H63" s="2" t="s">
        <v>284</v>
      </c>
      <c r="I63" s="2" t="s">
        <v>485</v>
      </c>
      <c r="J63" s="2" t="s">
        <v>486</v>
      </c>
      <c r="K63" s="2" t="s">
        <v>258</v>
      </c>
      <c r="L63" s="2" t="n">
        <v>1</v>
      </c>
      <c r="M63" s="2" t="s">
        <v>268</v>
      </c>
      <c r="N63" s="2"/>
      <c r="O63" s="2" t="s">
        <v>487</v>
      </c>
      <c r="P63" s="2" t="s">
        <v>102</v>
      </c>
      <c r="Q63" s="2" t="s">
        <v>488</v>
      </c>
      <c r="R63" s="2" t="s">
        <v>32</v>
      </c>
    </row>
    <row r="64" customFormat="false" ht="15" hidden="false" customHeight="false" outlineLevel="0" collapsed="false">
      <c r="A64" s="2" t="s">
        <v>489</v>
      </c>
      <c r="B64" s="2" t="s">
        <v>490</v>
      </c>
      <c r="C64" s="2" t="s">
        <v>35</v>
      </c>
      <c r="D64" s="2" t="s">
        <v>107</v>
      </c>
      <c r="E64" s="2" t="s">
        <v>479</v>
      </c>
      <c r="F64" s="2" t="s">
        <v>292</v>
      </c>
      <c r="G64" s="2" t="s">
        <v>283</v>
      </c>
      <c r="H64" s="2" t="s">
        <v>284</v>
      </c>
      <c r="I64" s="2" t="s">
        <v>317</v>
      </c>
      <c r="J64" s="2" t="s">
        <v>344</v>
      </c>
      <c r="K64" s="2" t="s">
        <v>258</v>
      </c>
      <c r="L64" s="2" t="n">
        <v>1</v>
      </c>
      <c r="M64" s="2" t="s">
        <v>268</v>
      </c>
      <c r="N64" s="2"/>
      <c r="O64" s="2" t="s">
        <v>491</v>
      </c>
      <c r="P64" s="2" t="s">
        <v>102</v>
      </c>
      <c r="Q64" s="2" t="s">
        <v>492</v>
      </c>
      <c r="R64" s="2" t="s">
        <v>32</v>
      </c>
    </row>
    <row r="65" customFormat="false" ht="15" hidden="false" customHeight="false" outlineLevel="0" collapsed="false">
      <c r="A65" s="2" t="s">
        <v>493</v>
      </c>
      <c r="B65" s="2" t="s">
        <v>494</v>
      </c>
      <c r="C65" s="2" t="s">
        <v>35</v>
      </c>
      <c r="D65" s="2" t="s">
        <v>107</v>
      </c>
      <c r="E65" s="2" t="s">
        <v>495</v>
      </c>
      <c r="F65" s="2" t="s">
        <v>292</v>
      </c>
      <c r="G65" s="2" t="s">
        <v>283</v>
      </c>
      <c r="H65" s="2" t="s">
        <v>284</v>
      </c>
      <c r="I65" s="2" t="s">
        <v>317</v>
      </c>
      <c r="J65" s="2" t="s">
        <v>496</v>
      </c>
      <c r="K65" s="2" t="s">
        <v>258</v>
      </c>
      <c r="L65" s="2" t="n">
        <v>1</v>
      </c>
      <c r="M65" s="2" t="s">
        <v>268</v>
      </c>
      <c r="N65" s="2"/>
      <c r="O65" s="2" t="s">
        <v>497</v>
      </c>
      <c r="P65" s="2" t="s">
        <v>30</v>
      </c>
      <c r="Q65" s="2" t="s">
        <v>498</v>
      </c>
      <c r="R65" s="2" t="s">
        <v>32</v>
      </c>
    </row>
    <row r="66" customFormat="false" ht="15" hidden="false" customHeight="false" outlineLevel="0" collapsed="false">
      <c r="A66" s="2" t="s">
        <v>499</v>
      </c>
      <c r="B66" s="2" t="s">
        <v>500</v>
      </c>
      <c r="C66" s="2" t="s">
        <v>115</v>
      </c>
      <c r="D66" s="2" t="s">
        <v>107</v>
      </c>
      <c r="E66" s="2" t="s">
        <v>501</v>
      </c>
      <c r="F66" s="2" t="s">
        <v>292</v>
      </c>
      <c r="G66" s="2" t="s">
        <v>283</v>
      </c>
      <c r="H66" s="2" t="s">
        <v>284</v>
      </c>
      <c r="I66" s="2" t="s">
        <v>317</v>
      </c>
      <c r="J66" s="2" t="s">
        <v>331</v>
      </c>
      <c r="K66" s="2" t="s">
        <v>258</v>
      </c>
      <c r="L66" s="2" t="n">
        <v>1</v>
      </c>
      <c r="M66" s="2" t="s">
        <v>268</v>
      </c>
      <c r="N66" s="2"/>
      <c r="O66" s="2" t="s">
        <v>502</v>
      </c>
      <c r="P66" s="2" t="s">
        <v>30</v>
      </c>
      <c r="Q66" s="2" t="s">
        <v>503</v>
      </c>
      <c r="R66" s="2" t="s">
        <v>32</v>
      </c>
    </row>
    <row r="67" customFormat="false" ht="15" hidden="false" customHeight="false" outlineLevel="0" collapsed="false">
      <c r="A67" s="2" t="s">
        <v>504</v>
      </c>
      <c r="B67" s="2" t="s">
        <v>505</v>
      </c>
      <c r="C67" s="2" t="s">
        <v>64</v>
      </c>
      <c r="D67" s="2" t="s">
        <v>107</v>
      </c>
      <c r="E67" s="2" t="s">
        <v>506</v>
      </c>
      <c r="F67" s="2" t="s">
        <v>292</v>
      </c>
      <c r="G67" s="2" t="s">
        <v>283</v>
      </c>
      <c r="H67" s="2" t="s">
        <v>284</v>
      </c>
      <c r="I67" s="2" t="s">
        <v>507</v>
      </c>
      <c r="J67" s="2" t="s">
        <v>508</v>
      </c>
      <c r="K67" s="2" t="s">
        <v>258</v>
      </c>
      <c r="L67" s="2" t="n">
        <v>1</v>
      </c>
      <c r="M67" s="2" t="s">
        <v>268</v>
      </c>
      <c r="N67" s="2"/>
      <c r="O67" s="2" t="s">
        <v>509</v>
      </c>
      <c r="P67" s="2" t="s">
        <v>30</v>
      </c>
      <c r="Q67" s="2" t="s">
        <v>510</v>
      </c>
      <c r="R67" s="2" t="s">
        <v>32</v>
      </c>
    </row>
    <row r="68" customFormat="false" ht="15" hidden="false" customHeight="false" outlineLevel="0" collapsed="false">
      <c r="A68" s="2" t="s">
        <v>511</v>
      </c>
      <c r="B68" s="2" t="s">
        <v>512</v>
      </c>
      <c r="C68" s="2" t="s">
        <v>513</v>
      </c>
      <c r="D68" s="2" t="s">
        <v>107</v>
      </c>
      <c r="E68" s="2" t="s">
        <v>514</v>
      </c>
      <c r="F68" s="2" t="s">
        <v>292</v>
      </c>
      <c r="G68" s="2" t="s">
        <v>283</v>
      </c>
      <c r="H68" s="2" t="s">
        <v>284</v>
      </c>
      <c r="I68" s="2" t="s">
        <v>515</v>
      </c>
      <c r="J68" s="2" t="s">
        <v>516</v>
      </c>
      <c r="K68" s="2" t="s">
        <v>258</v>
      </c>
      <c r="L68" s="2" t="n">
        <v>1</v>
      </c>
      <c r="M68" s="2" t="s">
        <v>268</v>
      </c>
      <c r="N68" s="2"/>
      <c r="O68" s="2" t="s">
        <v>517</v>
      </c>
      <c r="P68" s="2" t="s">
        <v>30</v>
      </c>
      <c r="Q68" s="2" t="s">
        <v>518</v>
      </c>
      <c r="R68" s="2" t="s">
        <v>261</v>
      </c>
    </row>
    <row r="69" customFormat="false" ht="15" hidden="false" customHeight="false" outlineLevel="0" collapsed="false">
      <c r="A69" s="2" t="s">
        <v>519</v>
      </c>
      <c r="B69" s="2" t="s">
        <v>520</v>
      </c>
      <c r="C69" s="2" t="s">
        <v>193</v>
      </c>
      <c r="D69" s="2" t="s">
        <v>107</v>
      </c>
      <c r="E69" s="2" t="s">
        <v>521</v>
      </c>
      <c r="F69" s="2" t="s">
        <v>292</v>
      </c>
      <c r="G69" s="2" t="s">
        <v>283</v>
      </c>
      <c r="H69" s="2" t="s">
        <v>284</v>
      </c>
      <c r="I69" s="2" t="s">
        <v>317</v>
      </c>
      <c r="J69" s="2" t="s">
        <v>344</v>
      </c>
      <c r="K69" s="2" t="s">
        <v>258</v>
      </c>
      <c r="L69" s="2" t="n">
        <v>1</v>
      </c>
      <c r="M69" s="2" t="s">
        <v>268</v>
      </c>
      <c r="N69" s="2"/>
      <c r="O69" s="2" t="s">
        <v>522</v>
      </c>
      <c r="P69" s="2" t="s">
        <v>30</v>
      </c>
      <c r="Q69" s="2" t="s">
        <v>523</v>
      </c>
      <c r="R69" s="2" t="s">
        <v>32</v>
      </c>
    </row>
    <row r="70" customFormat="false" ht="15" hidden="false" customHeight="false" outlineLevel="0" collapsed="false">
      <c r="A70" s="2" t="s">
        <v>524</v>
      </c>
      <c r="B70" s="2" t="s">
        <v>525</v>
      </c>
      <c r="C70" s="2" t="s">
        <v>299</v>
      </c>
      <c r="D70" s="2" t="s">
        <v>107</v>
      </c>
      <c r="E70" s="2" t="s">
        <v>526</v>
      </c>
      <c r="F70" s="2" t="s">
        <v>292</v>
      </c>
      <c r="G70" s="2" t="s">
        <v>283</v>
      </c>
      <c r="H70" s="2" t="s">
        <v>284</v>
      </c>
      <c r="I70" s="2" t="s">
        <v>317</v>
      </c>
      <c r="J70" s="2" t="s">
        <v>344</v>
      </c>
      <c r="K70" s="2" t="s">
        <v>258</v>
      </c>
      <c r="L70" s="2" t="n">
        <v>1</v>
      </c>
      <c r="M70" s="2" t="s">
        <v>268</v>
      </c>
      <c r="N70" s="2"/>
      <c r="O70" s="2" t="s">
        <v>527</v>
      </c>
      <c r="P70" s="2" t="s">
        <v>30</v>
      </c>
      <c r="Q70" s="2" t="s">
        <v>528</v>
      </c>
      <c r="R70" s="2" t="s">
        <v>32</v>
      </c>
    </row>
    <row r="71" customFormat="false" ht="15" hidden="false" customHeight="false" outlineLevel="0" collapsed="false">
      <c r="A71" s="2" t="s">
        <v>529</v>
      </c>
      <c r="B71" s="2" t="s">
        <v>530</v>
      </c>
      <c r="C71" s="2" t="s">
        <v>531</v>
      </c>
      <c r="D71" s="2" t="s">
        <v>532</v>
      </c>
      <c r="E71" s="2" t="s">
        <v>533</v>
      </c>
      <c r="F71" s="2" t="s">
        <v>292</v>
      </c>
      <c r="G71" s="2" t="s">
        <v>283</v>
      </c>
      <c r="H71" s="2" t="s">
        <v>284</v>
      </c>
      <c r="I71" s="2" t="s">
        <v>317</v>
      </c>
      <c r="J71" s="2" t="s">
        <v>331</v>
      </c>
      <c r="K71" s="2" t="s">
        <v>258</v>
      </c>
      <c r="L71" s="2" t="n">
        <v>1</v>
      </c>
      <c r="M71" s="2" t="s">
        <v>268</v>
      </c>
      <c r="N71" s="2"/>
      <c r="O71" s="2" t="s">
        <v>534</v>
      </c>
      <c r="P71" s="2" t="s">
        <v>30</v>
      </c>
      <c r="Q71" s="2" t="s">
        <v>535</v>
      </c>
      <c r="R71" s="2" t="s">
        <v>32</v>
      </c>
    </row>
    <row r="72" customFormat="false" ht="15" hidden="false" customHeight="false" outlineLevel="0" collapsed="false">
      <c r="A72" s="2" t="s">
        <v>536</v>
      </c>
      <c r="B72" s="2" t="s">
        <v>537</v>
      </c>
      <c r="C72" s="2" t="s">
        <v>115</v>
      </c>
      <c r="D72" s="2" t="s">
        <v>107</v>
      </c>
      <c r="E72" s="2" t="s">
        <v>538</v>
      </c>
      <c r="F72" s="2" t="s">
        <v>292</v>
      </c>
      <c r="G72" s="2" t="s">
        <v>283</v>
      </c>
      <c r="H72" s="2" t="s">
        <v>284</v>
      </c>
      <c r="I72" s="2" t="s">
        <v>539</v>
      </c>
      <c r="J72" s="2" t="s">
        <v>508</v>
      </c>
      <c r="K72" s="2" t="s">
        <v>258</v>
      </c>
      <c r="L72" s="2" t="n">
        <v>1</v>
      </c>
      <c r="M72" s="2" t="s">
        <v>268</v>
      </c>
      <c r="N72" s="2"/>
      <c r="O72" s="2" t="s">
        <v>540</v>
      </c>
      <c r="P72" s="2" t="s">
        <v>30</v>
      </c>
      <c r="Q72" s="2" t="s">
        <v>541</v>
      </c>
      <c r="R72" s="2" t="s">
        <v>261</v>
      </c>
    </row>
    <row r="73" customFormat="false" ht="15" hidden="false" customHeight="false" outlineLevel="0" collapsed="false">
      <c r="A73" s="2" t="s">
        <v>542</v>
      </c>
      <c r="B73" s="2" t="s">
        <v>543</v>
      </c>
      <c r="C73" s="2" t="s">
        <v>115</v>
      </c>
      <c r="D73" s="2" t="s">
        <v>107</v>
      </c>
      <c r="E73" s="2" t="s">
        <v>544</v>
      </c>
      <c r="F73" s="2" t="s">
        <v>292</v>
      </c>
      <c r="G73" s="2" t="s">
        <v>283</v>
      </c>
      <c r="H73" s="2" t="s">
        <v>284</v>
      </c>
      <c r="I73" s="2" t="s">
        <v>398</v>
      </c>
      <c r="J73" s="2" t="s">
        <v>344</v>
      </c>
      <c r="K73" s="2" t="s">
        <v>258</v>
      </c>
      <c r="L73" s="2" t="n">
        <v>1</v>
      </c>
      <c r="M73" s="2" t="s">
        <v>268</v>
      </c>
      <c r="N73" s="2"/>
      <c r="O73" s="2" t="s">
        <v>545</v>
      </c>
      <c r="P73" s="2" t="s">
        <v>30</v>
      </c>
      <c r="Q73" s="2" t="s">
        <v>546</v>
      </c>
      <c r="R73" s="2" t="s">
        <v>261</v>
      </c>
    </row>
    <row r="74" customFormat="false" ht="15" hidden="false" customHeight="false" outlineLevel="0" collapsed="false">
      <c r="A74" s="2" t="s">
        <v>547</v>
      </c>
      <c r="B74" s="2" t="s">
        <v>548</v>
      </c>
      <c r="C74" s="2" t="s">
        <v>323</v>
      </c>
      <c r="D74" s="2" t="s">
        <v>107</v>
      </c>
      <c r="E74" s="2" t="s">
        <v>549</v>
      </c>
      <c r="F74" s="2" t="s">
        <v>292</v>
      </c>
      <c r="G74" s="2" t="s">
        <v>283</v>
      </c>
      <c r="H74" s="2" t="s">
        <v>284</v>
      </c>
      <c r="I74" s="2" t="s">
        <v>398</v>
      </c>
      <c r="J74" s="2" t="s">
        <v>550</v>
      </c>
      <c r="K74" s="2" t="s">
        <v>258</v>
      </c>
      <c r="L74" s="2" t="n">
        <v>1</v>
      </c>
      <c r="M74" s="2" t="s">
        <v>268</v>
      </c>
      <c r="N74" s="2"/>
      <c r="O74" s="2" t="s">
        <v>551</v>
      </c>
      <c r="P74" s="2" t="s">
        <v>30</v>
      </c>
      <c r="Q74" s="2" t="s">
        <v>552</v>
      </c>
      <c r="R74" s="2" t="s">
        <v>32</v>
      </c>
    </row>
    <row r="75" customFormat="false" ht="15" hidden="false" customHeight="false" outlineLevel="0" collapsed="false">
      <c r="A75" s="2" t="s">
        <v>553</v>
      </c>
      <c r="B75" s="2" t="s">
        <v>554</v>
      </c>
      <c r="C75" s="2" t="s">
        <v>90</v>
      </c>
      <c r="D75" s="2" t="s">
        <v>107</v>
      </c>
      <c r="E75" s="2" t="s">
        <v>555</v>
      </c>
      <c r="F75" s="2" t="s">
        <v>292</v>
      </c>
      <c r="G75" s="2" t="s">
        <v>283</v>
      </c>
      <c r="H75" s="2" t="s">
        <v>284</v>
      </c>
      <c r="I75" s="2" t="s">
        <v>398</v>
      </c>
      <c r="J75" s="2" t="s">
        <v>556</v>
      </c>
      <c r="K75" s="2" t="s">
        <v>258</v>
      </c>
      <c r="L75" s="2" t="n">
        <v>1</v>
      </c>
      <c r="M75" s="2" t="s">
        <v>268</v>
      </c>
      <c r="N75" s="2"/>
      <c r="O75" s="2" t="s">
        <v>557</v>
      </c>
      <c r="P75" s="2" t="s">
        <v>30</v>
      </c>
      <c r="Q75" s="2" t="s">
        <v>558</v>
      </c>
      <c r="R75" s="2" t="s">
        <v>32</v>
      </c>
    </row>
    <row r="76" customFormat="false" ht="15" hidden="false" customHeight="false" outlineLevel="0" collapsed="false">
      <c r="A76" s="2" t="s">
        <v>559</v>
      </c>
      <c r="B76" s="2" t="s">
        <v>560</v>
      </c>
      <c r="C76" s="2" t="s">
        <v>52</v>
      </c>
      <c r="D76" s="2" t="s">
        <v>107</v>
      </c>
      <c r="E76" s="2" t="s">
        <v>561</v>
      </c>
      <c r="F76" s="2" t="s">
        <v>292</v>
      </c>
      <c r="G76" s="2" t="s">
        <v>283</v>
      </c>
      <c r="H76" s="2" t="s">
        <v>284</v>
      </c>
      <c r="I76" s="2" t="s">
        <v>398</v>
      </c>
      <c r="J76" s="2" t="s">
        <v>331</v>
      </c>
      <c r="K76" s="2" t="s">
        <v>258</v>
      </c>
      <c r="L76" s="2" t="n">
        <v>1</v>
      </c>
      <c r="M76" s="2" t="s">
        <v>268</v>
      </c>
      <c r="N76" s="2"/>
      <c r="O76" s="2" t="s">
        <v>562</v>
      </c>
      <c r="P76" s="2" t="s">
        <v>102</v>
      </c>
      <c r="Q76" s="2" t="s">
        <v>563</v>
      </c>
      <c r="R76" s="2" t="s">
        <v>32</v>
      </c>
    </row>
    <row r="77" customFormat="false" ht="15" hidden="false" customHeight="false" outlineLevel="0" collapsed="false">
      <c r="A77" s="2" t="s">
        <v>564</v>
      </c>
      <c r="B77" s="2" t="s">
        <v>565</v>
      </c>
      <c r="C77" s="2" t="s">
        <v>52</v>
      </c>
      <c r="D77" s="2" t="s">
        <v>107</v>
      </c>
      <c r="E77" s="2" t="s">
        <v>566</v>
      </c>
      <c r="F77" s="2" t="s">
        <v>292</v>
      </c>
      <c r="G77" s="2" t="s">
        <v>283</v>
      </c>
      <c r="H77" s="2" t="s">
        <v>284</v>
      </c>
      <c r="I77" s="2" t="s">
        <v>398</v>
      </c>
      <c r="J77" s="2" t="s">
        <v>331</v>
      </c>
      <c r="K77" s="2" t="s">
        <v>258</v>
      </c>
      <c r="L77" s="2" t="n">
        <v>1</v>
      </c>
      <c r="M77" s="2" t="s">
        <v>268</v>
      </c>
      <c r="N77" s="2"/>
      <c r="O77" s="2" t="s">
        <v>562</v>
      </c>
      <c r="P77" s="2" t="s">
        <v>30</v>
      </c>
      <c r="Q77" s="2" t="s">
        <v>567</v>
      </c>
      <c r="R77" s="2" t="s">
        <v>32</v>
      </c>
    </row>
    <row r="78" customFormat="false" ht="15" hidden="false" customHeight="false" outlineLevel="0" collapsed="false">
      <c r="A78" s="2" t="s">
        <v>568</v>
      </c>
      <c r="B78" s="2" t="s">
        <v>569</v>
      </c>
      <c r="C78" s="2" t="s">
        <v>570</v>
      </c>
      <c r="D78" s="2" t="s">
        <v>107</v>
      </c>
      <c r="E78" s="2" t="s">
        <v>571</v>
      </c>
      <c r="F78" s="2" t="s">
        <v>292</v>
      </c>
      <c r="G78" s="2" t="s">
        <v>283</v>
      </c>
      <c r="H78" s="2" t="s">
        <v>284</v>
      </c>
      <c r="I78" s="2" t="s">
        <v>398</v>
      </c>
      <c r="J78" s="2" t="s">
        <v>385</v>
      </c>
      <c r="K78" s="2" t="s">
        <v>258</v>
      </c>
      <c r="L78" s="2" t="n">
        <v>1</v>
      </c>
      <c r="M78" s="2" t="s">
        <v>268</v>
      </c>
      <c r="N78" s="2"/>
      <c r="O78" s="2" t="s">
        <v>572</v>
      </c>
      <c r="P78" s="2" t="s">
        <v>30</v>
      </c>
      <c r="Q78" s="2" t="s">
        <v>573</v>
      </c>
      <c r="R78" s="2" t="s">
        <v>32</v>
      </c>
    </row>
    <row r="79" customFormat="false" ht="15" hidden="false" customHeight="false" outlineLevel="0" collapsed="false">
      <c r="A79" s="2" t="s">
        <v>574</v>
      </c>
      <c r="B79" s="2" t="s">
        <v>575</v>
      </c>
      <c r="C79" s="2" t="s">
        <v>299</v>
      </c>
      <c r="D79" s="2" t="s">
        <v>107</v>
      </c>
      <c r="E79" s="2" t="s">
        <v>576</v>
      </c>
      <c r="F79" s="2" t="s">
        <v>292</v>
      </c>
      <c r="G79" s="2" t="s">
        <v>283</v>
      </c>
      <c r="H79" s="2" t="s">
        <v>284</v>
      </c>
      <c r="I79" s="2" t="s">
        <v>398</v>
      </c>
      <c r="J79" s="2" t="s">
        <v>577</v>
      </c>
      <c r="K79" s="2" t="s">
        <v>258</v>
      </c>
      <c r="L79" s="2" t="n">
        <v>1</v>
      </c>
      <c r="M79" s="2" t="s">
        <v>268</v>
      </c>
      <c r="N79" s="2"/>
      <c r="O79" s="2" t="s">
        <v>578</v>
      </c>
      <c r="P79" s="2" t="s">
        <v>30</v>
      </c>
      <c r="Q79" s="2" t="s">
        <v>579</v>
      </c>
      <c r="R79" s="2" t="s">
        <v>261</v>
      </c>
    </row>
    <row r="80" customFormat="false" ht="15" hidden="false" customHeight="false" outlineLevel="0" collapsed="false">
      <c r="A80" s="2" t="s">
        <v>580</v>
      </c>
      <c r="B80" s="2" t="s">
        <v>581</v>
      </c>
      <c r="C80" s="2" t="s">
        <v>299</v>
      </c>
      <c r="D80" s="2" t="s">
        <v>107</v>
      </c>
      <c r="E80" s="2" t="s">
        <v>582</v>
      </c>
      <c r="F80" s="2" t="s">
        <v>292</v>
      </c>
      <c r="G80" s="2" t="s">
        <v>283</v>
      </c>
      <c r="H80" s="2" t="s">
        <v>284</v>
      </c>
      <c r="I80" s="2" t="s">
        <v>398</v>
      </c>
      <c r="J80" s="2" t="s">
        <v>331</v>
      </c>
      <c r="K80" s="2" t="s">
        <v>258</v>
      </c>
      <c r="L80" s="2" t="n">
        <v>1</v>
      </c>
      <c r="M80" s="2" t="s">
        <v>268</v>
      </c>
      <c r="N80" s="2"/>
      <c r="O80" s="2" t="s">
        <v>562</v>
      </c>
      <c r="P80" s="2" t="s">
        <v>30</v>
      </c>
      <c r="Q80" s="2" t="s">
        <v>583</v>
      </c>
      <c r="R80" s="2" t="s">
        <v>32</v>
      </c>
    </row>
    <row r="81" customFormat="false" ht="15" hidden="false" customHeight="false" outlineLevel="0" collapsed="false">
      <c r="A81" s="2" t="s">
        <v>584</v>
      </c>
      <c r="B81" s="2" t="s">
        <v>585</v>
      </c>
      <c r="C81" s="2" t="s">
        <v>299</v>
      </c>
      <c r="D81" s="2" t="s">
        <v>107</v>
      </c>
      <c r="E81" s="2" t="s">
        <v>586</v>
      </c>
      <c r="F81" s="2" t="s">
        <v>292</v>
      </c>
      <c r="G81" s="2" t="s">
        <v>283</v>
      </c>
      <c r="H81" s="2" t="s">
        <v>284</v>
      </c>
      <c r="I81" s="2" t="s">
        <v>398</v>
      </c>
      <c r="J81" s="2" t="s">
        <v>587</v>
      </c>
      <c r="K81" s="2" t="s">
        <v>258</v>
      </c>
      <c r="L81" s="2" t="n">
        <v>1</v>
      </c>
      <c r="M81" s="2" t="s">
        <v>268</v>
      </c>
      <c r="N81" s="2"/>
      <c r="O81" s="2" t="s">
        <v>551</v>
      </c>
      <c r="P81" s="2" t="s">
        <v>30</v>
      </c>
      <c r="Q81" s="2" t="s">
        <v>588</v>
      </c>
      <c r="R81" s="2" t="s">
        <v>32</v>
      </c>
    </row>
    <row r="82" customFormat="false" ht="15" hidden="false" customHeight="false" outlineLevel="0" collapsed="false">
      <c r="A82" s="2" t="s">
        <v>589</v>
      </c>
      <c r="B82" s="2" t="s">
        <v>590</v>
      </c>
      <c r="C82" s="2" t="s">
        <v>73</v>
      </c>
      <c r="D82" s="2" t="s">
        <v>107</v>
      </c>
      <c r="E82" s="2" t="s">
        <v>591</v>
      </c>
      <c r="F82" s="2" t="s">
        <v>292</v>
      </c>
      <c r="G82" s="2" t="s">
        <v>283</v>
      </c>
      <c r="H82" s="2" t="s">
        <v>284</v>
      </c>
      <c r="I82" s="2" t="s">
        <v>592</v>
      </c>
      <c r="J82" s="2" t="s">
        <v>593</v>
      </c>
      <c r="K82" s="2" t="s">
        <v>258</v>
      </c>
      <c r="L82" s="2" t="n">
        <v>1</v>
      </c>
      <c r="M82" s="2" t="s">
        <v>268</v>
      </c>
      <c r="N82" s="2"/>
      <c r="O82" s="2" t="s">
        <v>551</v>
      </c>
      <c r="P82" s="2" t="s">
        <v>30</v>
      </c>
      <c r="Q82" s="2" t="s">
        <v>594</v>
      </c>
      <c r="R82" s="2" t="s">
        <v>261</v>
      </c>
    </row>
    <row r="83" customFormat="false" ht="15" hidden="false" customHeight="false" outlineLevel="0" collapsed="false">
      <c r="A83" s="2" t="s">
        <v>595</v>
      </c>
      <c r="B83" s="2" t="s">
        <v>596</v>
      </c>
      <c r="C83" s="2" t="s">
        <v>52</v>
      </c>
      <c r="D83" s="2" t="s">
        <v>107</v>
      </c>
      <c r="E83" s="2" t="s">
        <v>597</v>
      </c>
      <c r="F83" s="2" t="s">
        <v>413</v>
      </c>
      <c r="G83" s="2" t="s">
        <v>283</v>
      </c>
      <c r="H83" s="2" t="s">
        <v>284</v>
      </c>
      <c r="I83" s="2" t="s">
        <v>598</v>
      </c>
      <c r="J83" s="2" t="s">
        <v>599</v>
      </c>
      <c r="K83" s="2" t="s">
        <v>258</v>
      </c>
      <c r="L83" s="2" t="n">
        <v>1</v>
      </c>
      <c r="M83" s="2" t="s">
        <v>29</v>
      </c>
      <c r="N83" s="2"/>
      <c r="O83" s="2" t="s">
        <v>600</v>
      </c>
      <c r="P83" s="2" t="s">
        <v>30</v>
      </c>
      <c r="Q83" s="2" t="s">
        <v>601</v>
      </c>
      <c r="R83" s="2" t="s">
        <v>32</v>
      </c>
    </row>
    <row r="84" customFormat="false" ht="15" hidden="false" customHeight="false" outlineLevel="0" collapsed="false">
      <c r="A84" s="2" t="s">
        <v>602</v>
      </c>
      <c r="B84" s="2" t="s">
        <v>603</v>
      </c>
      <c r="C84" s="2" t="s">
        <v>106</v>
      </c>
      <c r="D84" s="2" t="s">
        <v>107</v>
      </c>
      <c r="E84" s="2" t="s">
        <v>604</v>
      </c>
      <c r="F84" s="2" t="s">
        <v>253</v>
      </c>
      <c r="G84" s="2" t="s">
        <v>283</v>
      </c>
      <c r="H84" s="2" t="s">
        <v>284</v>
      </c>
      <c r="I84" s="2" t="s">
        <v>605</v>
      </c>
      <c r="J84" s="2" t="s">
        <v>27</v>
      </c>
      <c r="K84" s="2" t="s">
        <v>258</v>
      </c>
      <c r="L84" s="2" t="n">
        <v>1</v>
      </c>
      <c r="M84" s="2" t="s">
        <v>268</v>
      </c>
      <c r="N84" s="2"/>
      <c r="O84" s="2" t="s">
        <v>606</v>
      </c>
      <c r="P84" s="2" t="s">
        <v>30</v>
      </c>
      <c r="Q84" s="2" t="s">
        <v>607</v>
      </c>
      <c r="R84" s="2" t="s">
        <v>32</v>
      </c>
    </row>
    <row r="85" customFormat="false" ht="15" hidden="false" customHeight="false" outlineLevel="0" collapsed="false">
      <c r="A85" s="2" t="s">
        <v>608</v>
      </c>
      <c r="B85" s="2" t="s">
        <v>389</v>
      </c>
      <c r="C85" s="2" t="s">
        <v>73</v>
      </c>
      <c r="D85" s="2" t="s">
        <v>107</v>
      </c>
      <c r="E85" s="2" t="s">
        <v>609</v>
      </c>
      <c r="F85" s="2" t="s">
        <v>253</v>
      </c>
      <c r="G85" s="2" t="s">
        <v>283</v>
      </c>
      <c r="H85" s="2" t="s">
        <v>284</v>
      </c>
      <c r="I85" s="2" t="s">
        <v>610</v>
      </c>
      <c r="J85" s="2" t="s">
        <v>257</v>
      </c>
      <c r="K85" s="2" t="s">
        <v>258</v>
      </c>
      <c r="L85" s="2" t="n">
        <v>1</v>
      </c>
      <c r="M85" s="2" t="s">
        <v>268</v>
      </c>
      <c r="N85" s="2"/>
      <c r="O85" s="2" t="s">
        <v>611</v>
      </c>
      <c r="P85" s="2" t="s">
        <v>30</v>
      </c>
      <c r="Q85" s="2" t="s">
        <v>612</v>
      </c>
      <c r="R85" s="2" t="s">
        <v>261</v>
      </c>
    </row>
    <row r="86" customFormat="false" ht="15" hidden="false" customHeight="false" outlineLevel="0" collapsed="false">
      <c r="A86" s="2" t="s">
        <v>613</v>
      </c>
      <c r="B86" s="2" t="s">
        <v>614</v>
      </c>
      <c r="C86" s="2" t="s">
        <v>106</v>
      </c>
      <c r="D86" s="2" t="s">
        <v>107</v>
      </c>
      <c r="E86" s="2" t="s">
        <v>615</v>
      </c>
      <c r="F86" s="2" t="s">
        <v>616</v>
      </c>
      <c r="G86" s="2" t="s">
        <v>283</v>
      </c>
      <c r="H86" s="2" t="s">
        <v>284</v>
      </c>
      <c r="I86" s="2" t="s">
        <v>617</v>
      </c>
      <c r="J86" s="2" t="s">
        <v>618</v>
      </c>
      <c r="K86" s="2" t="s">
        <v>258</v>
      </c>
      <c r="L86" s="2" t="n">
        <v>1</v>
      </c>
      <c r="M86" s="2" t="s">
        <v>29</v>
      </c>
      <c r="N86" s="2"/>
      <c r="O86" s="2" t="s">
        <v>619</v>
      </c>
      <c r="P86" s="2" t="s">
        <v>30</v>
      </c>
      <c r="Q86" s="2" t="s">
        <v>620</v>
      </c>
      <c r="R86" s="2" t="s">
        <v>32</v>
      </c>
    </row>
    <row r="87" customFormat="false" ht="15" hidden="false" customHeight="false" outlineLevel="0" collapsed="false">
      <c r="A87" s="2" t="s">
        <v>621</v>
      </c>
      <c r="B87" s="2" t="s">
        <v>622</v>
      </c>
      <c r="C87" s="2" t="s">
        <v>623</v>
      </c>
      <c r="D87" s="2" t="s">
        <v>107</v>
      </c>
      <c r="E87" s="2" t="s">
        <v>624</v>
      </c>
      <c r="F87" s="2" t="s">
        <v>253</v>
      </c>
      <c r="G87" s="2" t="s">
        <v>283</v>
      </c>
      <c r="H87" s="2" t="s">
        <v>284</v>
      </c>
      <c r="I87" s="2" t="s">
        <v>625</v>
      </c>
      <c r="J87" s="2" t="s">
        <v>339</v>
      </c>
      <c r="K87" s="2" t="s">
        <v>258</v>
      </c>
      <c r="L87" s="2" t="n">
        <v>1</v>
      </c>
      <c r="M87" s="2" t="s">
        <v>29</v>
      </c>
      <c r="N87" s="2"/>
      <c r="O87" s="2" t="s">
        <v>619</v>
      </c>
      <c r="P87" s="2" t="s">
        <v>30</v>
      </c>
      <c r="Q87" s="2" t="s">
        <v>626</v>
      </c>
      <c r="R87" s="2" t="s">
        <v>261</v>
      </c>
    </row>
    <row r="88" customFormat="false" ht="15" hidden="false" customHeight="false" outlineLevel="0" collapsed="false">
      <c r="A88" s="2" t="s">
        <v>627</v>
      </c>
      <c r="B88" s="2" t="s">
        <v>628</v>
      </c>
      <c r="C88" s="2" t="s">
        <v>52</v>
      </c>
      <c r="D88" s="2" t="s">
        <v>107</v>
      </c>
      <c r="E88" s="2" t="s">
        <v>629</v>
      </c>
      <c r="F88" s="2" t="s">
        <v>253</v>
      </c>
      <c r="G88" s="2" t="s">
        <v>283</v>
      </c>
      <c r="H88" s="2" t="s">
        <v>284</v>
      </c>
      <c r="I88" s="2" t="s">
        <v>630</v>
      </c>
      <c r="J88" s="2" t="s">
        <v>257</v>
      </c>
      <c r="K88" s="2" t="s">
        <v>258</v>
      </c>
      <c r="L88" s="2" t="n">
        <v>1</v>
      </c>
      <c r="M88" s="2" t="s">
        <v>29</v>
      </c>
      <c r="N88" s="2"/>
      <c r="O88" s="2" t="s">
        <v>631</v>
      </c>
      <c r="P88" s="2" t="s">
        <v>30</v>
      </c>
      <c r="Q88" s="2" t="s">
        <v>632</v>
      </c>
      <c r="R88" s="2" t="s">
        <v>261</v>
      </c>
    </row>
    <row r="89" customFormat="false" ht="15" hidden="false" customHeight="false" outlineLevel="0" collapsed="false">
      <c r="A89" s="2" t="s">
        <v>633</v>
      </c>
      <c r="B89" s="2" t="s">
        <v>634</v>
      </c>
      <c r="C89" s="2" t="s">
        <v>20</v>
      </c>
      <c r="D89" s="2" t="s">
        <v>107</v>
      </c>
      <c r="E89" s="2" t="s">
        <v>635</v>
      </c>
      <c r="F89" s="2" t="s">
        <v>253</v>
      </c>
      <c r="G89" s="2" t="s">
        <v>283</v>
      </c>
      <c r="H89" s="2" t="s">
        <v>284</v>
      </c>
      <c r="I89" s="2" t="s">
        <v>636</v>
      </c>
      <c r="J89" s="2" t="s">
        <v>392</v>
      </c>
      <c r="K89" s="2" t="s">
        <v>258</v>
      </c>
      <c r="L89" s="2" t="n">
        <v>1</v>
      </c>
      <c r="M89" s="2" t="s">
        <v>29</v>
      </c>
      <c r="N89" s="2"/>
      <c r="O89" s="2" t="s">
        <v>619</v>
      </c>
      <c r="P89" s="2" t="s">
        <v>30</v>
      </c>
      <c r="Q89" s="2" t="s">
        <v>637</v>
      </c>
      <c r="R89" s="2" t="s">
        <v>32</v>
      </c>
    </row>
    <row r="90" customFormat="false" ht="15" hidden="false" customHeight="false" outlineLevel="0" collapsed="false">
      <c r="A90" s="2" t="s">
        <v>638</v>
      </c>
      <c r="B90" s="2" t="s">
        <v>639</v>
      </c>
      <c r="C90" s="2" t="s">
        <v>640</v>
      </c>
      <c r="D90" s="2" t="s">
        <v>44</v>
      </c>
      <c r="E90" s="2" t="s">
        <v>641</v>
      </c>
      <c r="F90" s="2" t="s">
        <v>642</v>
      </c>
      <c r="G90" s="2" t="s">
        <v>55</v>
      </c>
      <c r="H90" s="2" t="s">
        <v>643</v>
      </c>
      <c r="I90" s="2" t="s">
        <v>644</v>
      </c>
      <c r="J90" s="2" t="s">
        <v>645</v>
      </c>
      <c r="K90" s="2" t="s">
        <v>28</v>
      </c>
      <c r="L90" s="2" t="n">
        <v>2</v>
      </c>
      <c r="M90" s="2" t="s">
        <v>268</v>
      </c>
      <c r="N90" s="2"/>
      <c r="O90" s="2" t="s">
        <v>646</v>
      </c>
      <c r="P90" s="2" t="s">
        <v>102</v>
      </c>
      <c r="Q90" s="2" t="s">
        <v>647</v>
      </c>
      <c r="R90" s="2" t="s">
        <v>261</v>
      </c>
    </row>
    <row r="91" customFormat="false" ht="15" hidden="false" customHeight="false" outlineLevel="0" collapsed="false">
      <c r="A91" s="2" t="s">
        <v>648</v>
      </c>
      <c r="B91" s="2" t="s">
        <v>649</v>
      </c>
      <c r="C91" s="2" t="s">
        <v>640</v>
      </c>
      <c r="D91" s="2" t="s">
        <v>44</v>
      </c>
      <c r="E91" s="2" t="s">
        <v>650</v>
      </c>
      <c r="F91" s="2" t="s">
        <v>651</v>
      </c>
      <c r="G91" s="2" t="s">
        <v>55</v>
      </c>
      <c r="H91" s="2" t="s">
        <v>643</v>
      </c>
      <c r="I91" s="2" t="s">
        <v>644</v>
      </c>
      <c r="J91" s="2" t="s">
        <v>652</v>
      </c>
      <c r="K91" s="2" t="s">
        <v>28</v>
      </c>
      <c r="L91" s="2" t="n">
        <v>2</v>
      </c>
      <c r="M91" s="2" t="s">
        <v>268</v>
      </c>
      <c r="N91" s="2"/>
      <c r="O91" s="2" t="s">
        <v>653</v>
      </c>
      <c r="P91" s="2" t="s">
        <v>102</v>
      </c>
      <c r="Q91" s="2" t="s">
        <v>654</v>
      </c>
      <c r="R91" s="2" t="s">
        <v>261</v>
      </c>
    </row>
    <row r="92" customFormat="false" ht="15" hidden="false" customHeight="false" outlineLevel="0" collapsed="false">
      <c r="A92" s="2" t="s">
        <v>655</v>
      </c>
      <c r="B92" s="2" t="s">
        <v>656</v>
      </c>
      <c r="C92" s="2" t="s">
        <v>640</v>
      </c>
      <c r="D92" s="2" t="s">
        <v>21</v>
      </c>
      <c r="E92" s="2" t="s">
        <v>657</v>
      </c>
      <c r="F92" s="2" t="s">
        <v>658</v>
      </c>
      <c r="G92" s="2" t="s">
        <v>55</v>
      </c>
      <c r="H92" s="2" t="s">
        <v>643</v>
      </c>
      <c r="I92" s="2" t="s">
        <v>644</v>
      </c>
      <c r="J92" s="2" t="s">
        <v>166</v>
      </c>
      <c r="K92" s="2" t="s">
        <v>28</v>
      </c>
      <c r="L92" s="2" t="n">
        <v>2</v>
      </c>
      <c r="M92" s="2" t="s">
        <v>29</v>
      </c>
      <c r="N92" s="2"/>
      <c r="O92" s="2" t="s">
        <v>659</v>
      </c>
      <c r="P92" s="2" t="s">
        <v>102</v>
      </c>
      <c r="Q92" s="2" t="s">
        <v>660</v>
      </c>
      <c r="R92" s="2" t="s">
        <v>261</v>
      </c>
    </row>
    <row r="93" customFormat="false" ht="15" hidden="false" customHeight="false" outlineLevel="0" collapsed="false">
      <c r="A93" s="2" t="s">
        <v>661</v>
      </c>
      <c r="B93" s="2" t="s">
        <v>662</v>
      </c>
      <c r="C93" s="2" t="s">
        <v>640</v>
      </c>
      <c r="D93" s="2" t="s">
        <v>21</v>
      </c>
      <c r="E93" s="2" t="s">
        <v>663</v>
      </c>
      <c r="F93" s="2" t="s">
        <v>658</v>
      </c>
      <c r="G93" s="2" t="s">
        <v>55</v>
      </c>
      <c r="H93" s="2" t="s">
        <v>643</v>
      </c>
      <c r="I93" s="2" t="s">
        <v>644</v>
      </c>
      <c r="J93" s="2" t="s">
        <v>166</v>
      </c>
      <c r="K93" s="2" t="s">
        <v>28</v>
      </c>
      <c r="L93" s="2" t="n">
        <v>2</v>
      </c>
      <c r="M93" s="2" t="s">
        <v>29</v>
      </c>
      <c r="N93" s="2"/>
      <c r="O93" s="2" t="s">
        <v>664</v>
      </c>
      <c r="P93" s="2" t="s">
        <v>102</v>
      </c>
      <c r="Q93" s="2" t="s">
        <v>665</v>
      </c>
      <c r="R93" s="2" t="s">
        <v>261</v>
      </c>
    </row>
    <row r="94" customFormat="false" ht="15" hidden="false" customHeight="false" outlineLevel="0" collapsed="false">
      <c r="A94" s="2" t="s">
        <v>666</v>
      </c>
      <c r="B94" s="2" t="s">
        <v>667</v>
      </c>
      <c r="C94" s="2" t="s">
        <v>640</v>
      </c>
      <c r="D94" s="2" t="s">
        <v>21</v>
      </c>
      <c r="E94" s="2" t="s">
        <v>668</v>
      </c>
      <c r="F94" s="2" t="s">
        <v>669</v>
      </c>
      <c r="G94" s="2" t="s">
        <v>55</v>
      </c>
      <c r="H94" s="2" t="s">
        <v>643</v>
      </c>
      <c r="I94" s="2" t="s">
        <v>644</v>
      </c>
      <c r="J94" s="2" t="s">
        <v>670</v>
      </c>
      <c r="K94" s="2" t="s">
        <v>58</v>
      </c>
      <c r="L94" s="2" t="n">
        <v>3</v>
      </c>
      <c r="M94" s="2" t="s">
        <v>29</v>
      </c>
      <c r="N94" s="2"/>
      <c r="O94" s="2" t="s">
        <v>671</v>
      </c>
      <c r="P94" s="2" t="s">
        <v>102</v>
      </c>
      <c r="Q94" s="2" t="s">
        <v>672</v>
      </c>
      <c r="R94" s="2" t="s">
        <v>261</v>
      </c>
    </row>
    <row r="95" customFormat="false" ht="15" hidden="false" customHeight="false" outlineLevel="0" collapsed="false">
      <c r="A95" s="2" t="s">
        <v>673</v>
      </c>
      <c r="B95" s="2" t="s">
        <v>674</v>
      </c>
      <c r="C95" s="2" t="s">
        <v>640</v>
      </c>
      <c r="D95" s="2" t="s">
        <v>21</v>
      </c>
      <c r="E95" s="2" t="s">
        <v>675</v>
      </c>
      <c r="F95" s="2" t="s">
        <v>676</v>
      </c>
      <c r="G95" s="2" t="s">
        <v>55</v>
      </c>
      <c r="H95" s="2" t="s">
        <v>643</v>
      </c>
      <c r="I95" s="2" t="s">
        <v>644</v>
      </c>
      <c r="J95" s="2" t="s">
        <v>677</v>
      </c>
      <c r="K95" s="2" t="s">
        <v>58</v>
      </c>
      <c r="L95" s="2" t="n">
        <v>3</v>
      </c>
      <c r="M95" s="2" t="s">
        <v>29</v>
      </c>
      <c r="N95" s="2"/>
      <c r="O95" s="2" t="s">
        <v>678</v>
      </c>
      <c r="P95" s="2" t="s">
        <v>102</v>
      </c>
      <c r="Q95" s="2" t="s">
        <v>679</v>
      </c>
      <c r="R95" s="2" t="s">
        <v>261</v>
      </c>
    </row>
    <row r="96" customFormat="false" ht="15" hidden="false" customHeight="false" outlineLevel="0" collapsed="false">
      <c r="A96" s="2" t="s">
        <v>680</v>
      </c>
      <c r="B96" s="2" t="s">
        <v>681</v>
      </c>
      <c r="C96" s="2" t="s">
        <v>640</v>
      </c>
      <c r="D96" s="2" t="s">
        <v>21</v>
      </c>
      <c r="E96" s="2" t="s">
        <v>682</v>
      </c>
      <c r="F96" s="2" t="s">
        <v>683</v>
      </c>
      <c r="G96" s="2" t="s">
        <v>55</v>
      </c>
      <c r="H96" s="2" t="s">
        <v>643</v>
      </c>
      <c r="I96" s="2" t="s">
        <v>644</v>
      </c>
      <c r="J96" s="2" t="s">
        <v>166</v>
      </c>
      <c r="K96" s="2" t="s">
        <v>58</v>
      </c>
      <c r="L96" s="2" t="n">
        <v>3</v>
      </c>
      <c r="M96" s="2" t="s">
        <v>29</v>
      </c>
      <c r="N96" s="2"/>
      <c r="O96" s="2" t="s">
        <v>684</v>
      </c>
      <c r="P96" s="2" t="s">
        <v>102</v>
      </c>
      <c r="Q96" s="2" t="s">
        <v>685</v>
      </c>
      <c r="R96" s="2" t="s">
        <v>261</v>
      </c>
    </row>
    <row r="97" customFormat="false" ht="15" hidden="false" customHeight="false" outlineLevel="0" collapsed="false">
      <c r="A97" s="2" t="s">
        <v>686</v>
      </c>
      <c r="B97" s="2" t="s">
        <v>687</v>
      </c>
      <c r="C97" s="2" t="s">
        <v>640</v>
      </c>
      <c r="D97" s="2" t="s">
        <v>44</v>
      </c>
      <c r="E97" s="2" t="s">
        <v>688</v>
      </c>
      <c r="F97" s="2" t="s">
        <v>689</v>
      </c>
      <c r="G97" s="2" t="s">
        <v>55</v>
      </c>
      <c r="H97" s="2" t="s">
        <v>643</v>
      </c>
      <c r="I97" s="2" t="s">
        <v>644</v>
      </c>
      <c r="J97" s="2" t="s">
        <v>690</v>
      </c>
      <c r="K97" s="2" t="s">
        <v>58</v>
      </c>
      <c r="L97" s="2" t="n">
        <v>3</v>
      </c>
      <c r="M97" s="2" t="s">
        <v>29</v>
      </c>
      <c r="N97" s="2"/>
      <c r="O97" s="2" t="s">
        <v>691</v>
      </c>
      <c r="P97" s="2" t="s">
        <v>102</v>
      </c>
      <c r="Q97" s="2" t="s">
        <v>692</v>
      </c>
      <c r="R97" s="2" t="s">
        <v>261</v>
      </c>
    </row>
    <row r="98" customFormat="false" ht="15" hidden="false" customHeight="false" outlineLevel="0" collapsed="false">
      <c r="A98" s="2" t="s">
        <v>693</v>
      </c>
      <c r="B98" s="2" t="s">
        <v>694</v>
      </c>
      <c r="C98" s="2" t="s">
        <v>20</v>
      </c>
      <c r="D98" s="2" t="s">
        <v>107</v>
      </c>
      <c r="E98" s="2" t="s">
        <v>695</v>
      </c>
      <c r="F98" s="2" t="s">
        <v>696</v>
      </c>
      <c r="G98" s="2" t="s">
        <v>308</v>
      </c>
      <c r="H98" s="2" t="s">
        <v>643</v>
      </c>
      <c r="I98" s="2" t="s">
        <v>644</v>
      </c>
      <c r="J98" s="2" t="s">
        <v>166</v>
      </c>
      <c r="K98" s="2" t="s">
        <v>58</v>
      </c>
      <c r="L98" s="2" t="n">
        <v>3</v>
      </c>
      <c r="M98" s="2" t="s">
        <v>29</v>
      </c>
      <c r="N98" s="2"/>
      <c r="O98" s="2" t="s">
        <v>694</v>
      </c>
      <c r="P98" s="2" t="s">
        <v>102</v>
      </c>
      <c r="Q98" s="2" t="s">
        <v>697</v>
      </c>
      <c r="R98" s="2" t="s">
        <v>261</v>
      </c>
    </row>
    <row r="99" customFormat="false" ht="15" hidden="false" customHeight="false" outlineLevel="0" collapsed="false">
      <c r="A99" s="2" t="s">
        <v>698</v>
      </c>
      <c r="B99" s="2" t="s">
        <v>699</v>
      </c>
      <c r="C99" s="2" t="s">
        <v>202</v>
      </c>
      <c r="D99" s="2" t="s">
        <v>107</v>
      </c>
      <c r="E99" s="2" t="s">
        <v>700</v>
      </c>
      <c r="F99" s="2" t="s">
        <v>701</v>
      </c>
      <c r="G99" s="2" t="s">
        <v>254</v>
      </c>
      <c r="H99" s="2" t="s">
        <v>643</v>
      </c>
      <c r="I99" s="2" t="s">
        <v>644</v>
      </c>
      <c r="J99" s="2" t="s">
        <v>702</v>
      </c>
      <c r="K99" s="2" t="s">
        <v>28</v>
      </c>
      <c r="L99" s="2" t="n">
        <v>2</v>
      </c>
      <c r="M99" s="2" t="s">
        <v>29</v>
      </c>
      <c r="N99" s="2"/>
      <c r="O99" s="2" t="s">
        <v>699</v>
      </c>
      <c r="P99" s="2" t="s">
        <v>102</v>
      </c>
      <c r="Q99" s="2" t="s">
        <v>703</v>
      </c>
      <c r="R99" s="2" t="s">
        <v>261</v>
      </c>
    </row>
    <row r="100" customFormat="false" ht="15" hidden="false" customHeight="false" outlineLevel="0" collapsed="false">
      <c r="A100" s="2" t="s">
        <v>704</v>
      </c>
      <c r="B100" s="2" t="s">
        <v>426</v>
      </c>
      <c r="C100" s="2" t="s">
        <v>427</v>
      </c>
      <c r="D100" s="2" t="s">
        <v>107</v>
      </c>
      <c r="E100" s="2" t="s">
        <v>705</v>
      </c>
      <c r="F100" s="2" t="s">
        <v>706</v>
      </c>
      <c r="G100" s="2" t="s">
        <v>254</v>
      </c>
      <c r="H100" s="2" t="s">
        <v>643</v>
      </c>
      <c r="I100" s="2" t="s">
        <v>644</v>
      </c>
      <c r="J100" s="2" t="s">
        <v>166</v>
      </c>
      <c r="K100" s="2" t="s">
        <v>58</v>
      </c>
      <c r="L100" s="2" t="n">
        <v>3</v>
      </c>
      <c r="M100" s="2" t="s">
        <v>29</v>
      </c>
      <c r="N100" s="2"/>
      <c r="O100" s="2" t="s">
        <v>426</v>
      </c>
      <c r="P100" s="2" t="s">
        <v>102</v>
      </c>
      <c r="Q100" s="2" t="s">
        <v>707</v>
      </c>
      <c r="R100" s="2" t="s">
        <v>261</v>
      </c>
    </row>
    <row r="101" customFormat="false" ht="15" hidden="false" customHeight="false" outlineLevel="0" collapsed="false">
      <c r="A101" s="2" t="s">
        <v>708</v>
      </c>
      <c r="B101" s="2" t="s">
        <v>581</v>
      </c>
      <c r="C101" s="2" t="s">
        <v>299</v>
      </c>
      <c r="D101" s="2" t="s">
        <v>107</v>
      </c>
      <c r="E101" s="2" t="s">
        <v>709</v>
      </c>
      <c r="F101" s="2" t="s">
        <v>710</v>
      </c>
      <c r="G101" s="2" t="s">
        <v>308</v>
      </c>
      <c r="H101" s="2" t="s">
        <v>643</v>
      </c>
      <c r="I101" s="2" t="s">
        <v>644</v>
      </c>
      <c r="J101" s="2" t="s">
        <v>711</v>
      </c>
      <c r="K101" s="2" t="s">
        <v>58</v>
      </c>
      <c r="L101" s="2" t="n">
        <v>3</v>
      </c>
      <c r="M101" s="2" t="s">
        <v>29</v>
      </c>
      <c r="N101" s="2"/>
      <c r="O101" s="2" t="s">
        <v>581</v>
      </c>
      <c r="P101" s="2" t="s">
        <v>30</v>
      </c>
      <c r="Q101" s="2" t="s">
        <v>712</v>
      </c>
      <c r="R101" s="2" t="s">
        <v>261</v>
      </c>
    </row>
    <row r="102" customFormat="false" ht="15" hidden="false" customHeight="false" outlineLevel="0" collapsed="false">
      <c r="A102" s="2" t="s">
        <v>713</v>
      </c>
      <c r="B102" s="2" t="s">
        <v>411</v>
      </c>
      <c r="C102" s="2" t="s">
        <v>20</v>
      </c>
      <c r="D102" s="2" t="s">
        <v>107</v>
      </c>
      <c r="E102" s="2" t="s">
        <v>714</v>
      </c>
      <c r="F102" s="2" t="s">
        <v>715</v>
      </c>
      <c r="G102" s="2" t="s">
        <v>716</v>
      </c>
      <c r="H102" s="2" t="s">
        <v>643</v>
      </c>
      <c r="I102" s="2" t="s">
        <v>644</v>
      </c>
      <c r="J102" s="2" t="s">
        <v>717</v>
      </c>
      <c r="K102" s="2" t="s">
        <v>28</v>
      </c>
      <c r="L102" s="2" t="n">
        <v>2</v>
      </c>
      <c r="M102" s="2" t="s">
        <v>29</v>
      </c>
      <c r="N102" s="2"/>
      <c r="O102" s="2" t="s">
        <v>718</v>
      </c>
      <c r="P102" s="2" t="s">
        <v>102</v>
      </c>
      <c r="Q102" s="2" t="s">
        <v>719</v>
      </c>
      <c r="R102" s="2" t="s">
        <v>261</v>
      </c>
    </row>
    <row r="103" customFormat="false" ht="15" hidden="false" customHeight="false" outlineLevel="0" collapsed="false">
      <c r="A103" s="2" t="s">
        <v>720</v>
      </c>
      <c r="B103" s="2" t="s">
        <v>721</v>
      </c>
      <c r="C103" s="2" t="s">
        <v>20</v>
      </c>
      <c r="D103" s="2" t="s">
        <v>107</v>
      </c>
      <c r="E103" s="2" t="s">
        <v>722</v>
      </c>
      <c r="F103" s="2" t="s">
        <v>723</v>
      </c>
      <c r="G103" s="2" t="s">
        <v>254</v>
      </c>
      <c r="H103" s="2" t="s">
        <v>643</v>
      </c>
      <c r="I103" s="2" t="s">
        <v>724</v>
      </c>
      <c r="J103" s="2" t="s">
        <v>212</v>
      </c>
      <c r="K103" s="2" t="s">
        <v>28</v>
      </c>
      <c r="L103" s="2" t="n">
        <v>2</v>
      </c>
      <c r="M103" s="2" t="s">
        <v>29</v>
      </c>
      <c r="N103" s="2"/>
      <c r="O103" s="2" t="s">
        <v>721</v>
      </c>
      <c r="P103" s="2" t="s">
        <v>270</v>
      </c>
      <c r="Q103" s="2" t="s">
        <v>725</v>
      </c>
      <c r="R103" s="2" t="s">
        <v>261</v>
      </c>
    </row>
    <row r="104" customFormat="false" ht="15" hidden="false" customHeight="false" outlineLevel="0" collapsed="false">
      <c r="A104" s="2" t="s">
        <v>726</v>
      </c>
      <c r="B104" s="2" t="s">
        <v>727</v>
      </c>
      <c r="C104" s="2" t="s">
        <v>20</v>
      </c>
      <c r="D104" s="2" t="s">
        <v>21</v>
      </c>
      <c r="E104" s="2" t="s">
        <v>728</v>
      </c>
      <c r="F104" s="2" t="s">
        <v>729</v>
      </c>
      <c r="G104" s="2" t="s">
        <v>254</v>
      </c>
      <c r="H104" s="2" t="s">
        <v>643</v>
      </c>
      <c r="I104" s="2" t="s">
        <v>730</v>
      </c>
      <c r="J104" s="2" t="s">
        <v>731</v>
      </c>
      <c r="K104" s="2" t="s">
        <v>58</v>
      </c>
      <c r="L104" s="2" t="n">
        <v>3</v>
      </c>
      <c r="M104" s="2" t="s">
        <v>29</v>
      </c>
      <c r="N104" s="2"/>
      <c r="O104" s="2" t="s">
        <v>732</v>
      </c>
      <c r="P104" s="2" t="s">
        <v>30</v>
      </c>
      <c r="Q104" s="2" t="s">
        <v>733</v>
      </c>
      <c r="R104" s="2" t="s">
        <v>261</v>
      </c>
    </row>
    <row r="105" customFormat="false" ht="15" hidden="false" customHeight="false" outlineLevel="0" collapsed="false">
      <c r="A105" s="2" t="s">
        <v>734</v>
      </c>
      <c r="B105" s="2" t="s">
        <v>735</v>
      </c>
      <c r="C105" s="2" t="s">
        <v>736</v>
      </c>
      <c r="D105" s="2" t="s">
        <v>107</v>
      </c>
      <c r="E105" s="2" t="s">
        <v>737</v>
      </c>
      <c r="F105" s="2" t="s">
        <v>738</v>
      </c>
      <c r="G105" s="2" t="s">
        <v>308</v>
      </c>
      <c r="H105" s="2" t="s">
        <v>643</v>
      </c>
      <c r="I105" s="2" t="s">
        <v>724</v>
      </c>
      <c r="J105" s="2" t="s">
        <v>212</v>
      </c>
      <c r="K105" s="2" t="s">
        <v>28</v>
      </c>
      <c r="L105" s="2" t="n">
        <v>2</v>
      </c>
      <c r="M105" s="2" t="s">
        <v>29</v>
      </c>
      <c r="N105" s="2"/>
      <c r="O105" s="2" t="s">
        <v>735</v>
      </c>
      <c r="P105" s="2" t="s">
        <v>102</v>
      </c>
      <c r="Q105" s="2" t="s">
        <v>739</v>
      </c>
      <c r="R105" s="2" t="s">
        <v>32</v>
      </c>
    </row>
    <row r="106" customFormat="false" ht="15" hidden="false" customHeight="false" outlineLevel="0" collapsed="false">
      <c r="A106" s="2" t="s">
        <v>740</v>
      </c>
      <c r="B106" s="2" t="s">
        <v>741</v>
      </c>
      <c r="C106" s="2" t="s">
        <v>623</v>
      </c>
      <c r="D106" s="2" t="s">
        <v>107</v>
      </c>
      <c r="E106" s="2" t="s">
        <v>742</v>
      </c>
      <c r="F106" s="2" t="s">
        <v>743</v>
      </c>
      <c r="G106" s="2" t="s">
        <v>254</v>
      </c>
      <c r="H106" s="2" t="s">
        <v>643</v>
      </c>
      <c r="I106" s="2" t="s">
        <v>724</v>
      </c>
      <c r="J106" s="2" t="s">
        <v>212</v>
      </c>
      <c r="K106" s="2" t="s">
        <v>28</v>
      </c>
      <c r="L106" s="2" t="n">
        <v>2</v>
      </c>
      <c r="M106" s="2" t="s">
        <v>29</v>
      </c>
      <c r="N106" s="2"/>
      <c r="O106" s="2" t="s">
        <v>741</v>
      </c>
      <c r="P106" s="2" t="s">
        <v>270</v>
      </c>
      <c r="Q106" s="2" t="s">
        <v>744</v>
      </c>
      <c r="R106" s="2" t="s">
        <v>32</v>
      </c>
    </row>
    <row r="107" customFormat="false" ht="15" hidden="false" customHeight="false" outlineLevel="0" collapsed="false">
      <c r="A107" s="2" t="s">
        <v>745</v>
      </c>
      <c r="B107" s="2" t="s">
        <v>746</v>
      </c>
      <c r="C107" s="2" t="s">
        <v>52</v>
      </c>
      <c r="D107" s="2" t="s">
        <v>107</v>
      </c>
      <c r="E107" s="2" t="s">
        <v>747</v>
      </c>
      <c r="F107" s="2" t="s">
        <v>748</v>
      </c>
      <c r="G107" s="2" t="s">
        <v>308</v>
      </c>
      <c r="H107" s="2" t="s">
        <v>643</v>
      </c>
      <c r="I107" s="2" t="s">
        <v>724</v>
      </c>
      <c r="J107" s="2" t="s">
        <v>749</v>
      </c>
      <c r="K107" s="2" t="s">
        <v>58</v>
      </c>
      <c r="L107" s="2" t="n">
        <v>3</v>
      </c>
      <c r="M107" s="2" t="s">
        <v>59</v>
      </c>
      <c r="N107" s="2"/>
      <c r="O107" s="2" t="s">
        <v>750</v>
      </c>
      <c r="P107" s="2" t="s">
        <v>30</v>
      </c>
      <c r="Q107" s="2" t="s">
        <v>751</v>
      </c>
      <c r="R107" s="2" t="s">
        <v>32</v>
      </c>
    </row>
    <row r="108" customFormat="false" ht="15" hidden="false" customHeight="false" outlineLevel="0" collapsed="false">
      <c r="A108" s="2" t="s">
        <v>752</v>
      </c>
      <c r="B108" s="2" t="s">
        <v>753</v>
      </c>
      <c r="C108" s="2" t="s">
        <v>202</v>
      </c>
      <c r="D108" s="2" t="s">
        <v>107</v>
      </c>
      <c r="E108" s="2" t="s">
        <v>754</v>
      </c>
      <c r="F108" s="2" t="s">
        <v>755</v>
      </c>
      <c r="G108" s="2" t="s">
        <v>254</v>
      </c>
      <c r="H108" s="2" t="s">
        <v>643</v>
      </c>
      <c r="I108" s="2" t="s">
        <v>724</v>
      </c>
      <c r="J108" s="2" t="s">
        <v>756</v>
      </c>
      <c r="K108" s="2" t="s">
        <v>28</v>
      </c>
      <c r="L108" s="2" t="n">
        <v>2</v>
      </c>
      <c r="M108" s="2" t="s">
        <v>29</v>
      </c>
      <c r="N108" s="2" t="s">
        <v>757</v>
      </c>
      <c r="O108" s="2" t="s">
        <v>753</v>
      </c>
      <c r="P108" s="2" t="s">
        <v>102</v>
      </c>
      <c r="Q108" s="2" t="s">
        <v>758</v>
      </c>
      <c r="R108" s="2" t="s">
        <v>32</v>
      </c>
    </row>
    <row r="109" customFormat="false" ht="15" hidden="false" customHeight="false" outlineLevel="0" collapsed="false">
      <c r="A109" s="2" t="s">
        <v>759</v>
      </c>
      <c r="B109" s="2" t="s">
        <v>760</v>
      </c>
      <c r="C109" s="2" t="s">
        <v>202</v>
      </c>
      <c r="D109" s="2" t="s">
        <v>107</v>
      </c>
      <c r="E109" s="2" t="s">
        <v>761</v>
      </c>
      <c r="F109" s="2" t="s">
        <v>755</v>
      </c>
      <c r="G109" s="2" t="s">
        <v>254</v>
      </c>
      <c r="H109" s="2" t="s">
        <v>643</v>
      </c>
      <c r="I109" s="2" t="s">
        <v>724</v>
      </c>
      <c r="J109" s="2" t="s">
        <v>756</v>
      </c>
      <c r="K109" s="2" t="s">
        <v>28</v>
      </c>
      <c r="L109" s="2" t="n">
        <v>2</v>
      </c>
      <c r="M109" s="2" t="s">
        <v>29</v>
      </c>
      <c r="N109" s="2" t="s">
        <v>762</v>
      </c>
      <c r="O109" s="2" t="s">
        <v>760</v>
      </c>
      <c r="P109" s="2" t="s">
        <v>102</v>
      </c>
      <c r="Q109" s="2" t="s">
        <v>763</v>
      </c>
      <c r="R109" s="2" t="s">
        <v>32</v>
      </c>
    </row>
    <row r="110" customFormat="false" ht="15" hidden="false" customHeight="false" outlineLevel="0" collapsed="false">
      <c r="A110" s="2" t="s">
        <v>764</v>
      </c>
      <c r="B110" s="2" t="s">
        <v>765</v>
      </c>
      <c r="C110" s="2" t="s">
        <v>202</v>
      </c>
      <c r="D110" s="2" t="s">
        <v>107</v>
      </c>
      <c r="E110" s="2" t="s">
        <v>766</v>
      </c>
      <c r="F110" s="2" t="s">
        <v>755</v>
      </c>
      <c r="G110" s="2" t="s">
        <v>254</v>
      </c>
      <c r="H110" s="2" t="s">
        <v>643</v>
      </c>
      <c r="I110" s="2" t="s">
        <v>724</v>
      </c>
      <c r="J110" s="2" t="s">
        <v>756</v>
      </c>
      <c r="K110" s="2" t="s">
        <v>28</v>
      </c>
      <c r="L110" s="2" t="n">
        <v>2</v>
      </c>
      <c r="M110" s="2" t="s">
        <v>29</v>
      </c>
      <c r="N110" s="2" t="s">
        <v>767</v>
      </c>
      <c r="O110" s="2" t="s">
        <v>765</v>
      </c>
      <c r="P110" s="2" t="s">
        <v>102</v>
      </c>
      <c r="Q110" s="2" t="s">
        <v>768</v>
      </c>
      <c r="R110" s="2" t="s">
        <v>32</v>
      </c>
    </row>
    <row r="111" customFormat="false" ht="15" hidden="false" customHeight="false" outlineLevel="0" collapsed="false">
      <c r="A111" s="2" t="s">
        <v>769</v>
      </c>
      <c r="B111" s="2" t="s">
        <v>770</v>
      </c>
      <c r="C111" s="2" t="s">
        <v>513</v>
      </c>
      <c r="D111" s="2" t="s">
        <v>107</v>
      </c>
      <c r="E111" s="2" t="s">
        <v>771</v>
      </c>
      <c r="F111" s="2" t="s">
        <v>772</v>
      </c>
      <c r="G111" s="2" t="s">
        <v>254</v>
      </c>
      <c r="H111" s="2" t="s">
        <v>643</v>
      </c>
      <c r="I111" s="2" t="s">
        <v>773</v>
      </c>
      <c r="J111" s="2" t="s">
        <v>774</v>
      </c>
      <c r="K111" s="2" t="s">
        <v>28</v>
      </c>
      <c r="L111" s="2" t="n">
        <v>2</v>
      </c>
      <c r="M111" s="2" t="s">
        <v>29</v>
      </c>
      <c r="N111" s="2"/>
      <c r="O111" s="2" t="s">
        <v>775</v>
      </c>
      <c r="P111" s="2" t="s">
        <v>102</v>
      </c>
      <c r="Q111" s="2" t="s">
        <v>776</v>
      </c>
      <c r="R111" s="2" t="s">
        <v>32</v>
      </c>
    </row>
    <row r="112" customFormat="false" ht="15" hidden="false" customHeight="false" outlineLevel="0" collapsed="false">
      <c r="A112" s="2" t="s">
        <v>777</v>
      </c>
      <c r="B112" s="2" t="s">
        <v>466</v>
      </c>
      <c r="C112" s="2" t="s">
        <v>52</v>
      </c>
      <c r="D112" s="2" t="s">
        <v>107</v>
      </c>
      <c r="E112" s="2" t="s">
        <v>778</v>
      </c>
      <c r="F112" s="2" t="s">
        <v>779</v>
      </c>
      <c r="G112" s="2" t="s">
        <v>308</v>
      </c>
      <c r="H112" s="2" t="s">
        <v>643</v>
      </c>
      <c r="I112" s="2" t="s">
        <v>780</v>
      </c>
      <c r="J112" s="2" t="s">
        <v>781</v>
      </c>
      <c r="K112" s="2" t="s">
        <v>28</v>
      </c>
      <c r="L112" s="2" t="n">
        <v>2</v>
      </c>
      <c r="M112" s="2" t="s">
        <v>59</v>
      </c>
      <c r="N112" s="2"/>
      <c r="O112" s="2" t="s">
        <v>782</v>
      </c>
      <c r="P112" s="2" t="s">
        <v>30</v>
      </c>
      <c r="Q112" s="2" t="s">
        <v>783</v>
      </c>
      <c r="R112" s="2" t="s">
        <v>32</v>
      </c>
    </row>
    <row r="113" customFormat="false" ht="15" hidden="false" customHeight="false" outlineLevel="0" collapsed="false">
      <c r="A113" s="2" t="s">
        <v>784</v>
      </c>
      <c r="B113" s="2" t="s">
        <v>785</v>
      </c>
      <c r="C113" s="2" t="s">
        <v>20</v>
      </c>
      <c r="D113" s="2" t="s">
        <v>21</v>
      </c>
      <c r="E113" s="2" t="s">
        <v>786</v>
      </c>
      <c r="F113" s="2" t="s">
        <v>337</v>
      </c>
      <c r="G113" s="2" t="s">
        <v>55</v>
      </c>
      <c r="H113" s="2" t="s">
        <v>643</v>
      </c>
      <c r="I113" s="2" t="s">
        <v>100</v>
      </c>
      <c r="J113" s="2" t="s">
        <v>787</v>
      </c>
      <c r="K113" s="2" t="s">
        <v>58</v>
      </c>
      <c r="L113" s="2" t="n">
        <v>3</v>
      </c>
      <c r="M113" s="2" t="s">
        <v>59</v>
      </c>
      <c r="N113" s="2"/>
      <c r="O113" s="2" t="s">
        <v>785</v>
      </c>
      <c r="P113" s="2" t="s">
        <v>30</v>
      </c>
      <c r="Q113" s="2" t="s">
        <v>788</v>
      </c>
      <c r="R113" s="2" t="s">
        <v>32</v>
      </c>
    </row>
    <row r="114" customFormat="false" ht="15" hidden="false" customHeight="false" outlineLevel="0" collapsed="false">
      <c r="A114" s="2" t="s">
        <v>789</v>
      </c>
      <c r="B114" s="2" t="s">
        <v>790</v>
      </c>
      <c r="C114" s="2" t="s">
        <v>20</v>
      </c>
      <c r="D114" s="2" t="s">
        <v>21</v>
      </c>
      <c r="E114" s="2" t="s">
        <v>791</v>
      </c>
      <c r="F114" s="2" t="s">
        <v>337</v>
      </c>
      <c r="G114" s="2" t="s">
        <v>55</v>
      </c>
      <c r="H114" s="2" t="s">
        <v>643</v>
      </c>
      <c r="I114" s="2" t="s">
        <v>100</v>
      </c>
      <c r="J114" s="2" t="s">
        <v>792</v>
      </c>
      <c r="K114" s="2" t="s">
        <v>58</v>
      </c>
      <c r="L114" s="2" t="n">
        <v>3</v>
      </c>
      <c r="M114" s="2" t="s">
        <v>59</v>
      </c>
      <c r="N114" s="2"/>
      <c r="O114" s="2" t="s">
        <v>790</v>
      </c>
      <c r="P114" s="2" t="s">
        <v>30</v>
      </c>
      <c r="Q114" s="2" t="s">
        <v>793</v>
      </c>
      <c r="R114" s="2" t="s">
        <v>32</v>
      </c>
    </row>
    <row r="115" customFormat="false" ht="15" hidden="false" customHeight="false" outlineLevel="0" collapsed="false">
      <c r="A115" s="2" t="s">
        <v>794</v>
      </c>
      <c r="B115" s="2" t="s">
        <v>795</v>
      </c>
      <c r="C115" s="2" t="s">
        <v>20</v>
      </c>
      <c r="D115" s="2" t="s">
        <v>21</v>
      </c>
      <c r="E115" s="2" t="s">
        <v>796</v>
      </c>
      <c r="F115" s="2" t="s">
        <v>337</v>
      </c>
      <c r="G115" s="2" t="s">
        <v>55</v>
      </c>
      <c r="H115" s="2" t="s">
        <v>643</v>
      </c>
      <c r="I115" s="2" t="s">
        <v>100</v>
      </c>
      <c r="J115" s="2" t="s">
        <v>101</v>
      </c>
      <c r="K115" s="2" t="s">
        <v>58</v>
      </c>
      <c r="L115" s="2" t="n">
        <v>3</v>
      </c>
      <c r="M115" s="2" t="s">
        <v>59</v>
      </c>
      <c r="N115" s="2" t="s">
        <v>797</v>
      </c>
      <c r="O115" s="2" t="s">
        <v>795</v>
      </c>
      <c r="P115" s="2" t="s">
        <v>30</v>
      </c>
      <c r="Q115" s="2" t="s">
        <v>798</v>
      </c>
      <c r="R115" s="2" t="s">
        <v>32</v>
      </c>
    </row>
    <row r="116" customFormat="false" ht="15" hidden="false" customHeight="false" outlineLevel="0" collapsed="false">
      <c r="A116" s="2" t="s">
        <v>799</v>
      </c>
      <c r="B116" s="2" t="s">
        <v>800</v>
      </c>
      <c r="C116" s="2" t="s">
        <v>20</v>
      </c>
      <c r="D116" s="2" t="s">
        <v>21</v>
      </c>
      <c r="E116" s="2" t="s">
        <v>801</v>
      </c>
      <c r="F116" s="2" t="s">
        <v>337</v>
      </c>
      <c r="G116" s="2" t="s">
        <v>55</v>
      </c>
      <c r="H116" s="2" t="s">
        <v>643</v>
      </c>
      <c r="I116" s="2" t="s">
        <v>802</v>
      </c>
      <c r="J116" s="2" t="s">
        <v>803</v>
      </c>
      <c r="K116" s="2" t="s">
        <v>69</v>
      </c>
      <c r="L116" s="2" t="n">
        <v>4</v>
      </c>
      <c r="M116" s="2" t="s">
        <v>59</v>
      </c>
      <c r="N116" s="2"/>
      <c r="O116" s="2" t="s">
        <v>800</v>
      </c>
      <c r="P116" s="2" t="s">
        <v>30</v>
      </c>
      <c r="Q116" s="2" t="s">
        <v>804</v>
      </c>
      <c r="R116" s="2" t="s">
        <v>32</v>
      </c>
    </row>
    <row r="117" customFormat="false" ht="15" hidden="false" customHeight="false" outlineLevel="0" collapsed="false">
      <c r="A117" s="2" t="s">
        <v>805</v>
      </c>
      <c r="B117" s="2" t="s">
        <v>806</v>
      </c>
      <c r="C117" s="2" t="s">
        <v>20</v>
      </c>
      <c r="D117" s="2" t="s">
        <v>21</v>
      </c>
      <c r="E117" s="2" t="s">
        <v>807</v>
      </c>
      <c r="F117" s="2" t="s">
        <v>337</v>
      </c>
      <c r="G117" s="2" t="s">
        <v>55</v>
      </c>
      <c r="H117" s="2" t="s">
        <v>643</v>
      </c>
      <c r="I117" s="2" t="s">
        <v>196</v>
      </c>
      <c r="J117" s="2" t="s">
        <v>808</v>
      </c>
      <c r="K117" s="2" t="s">
        <v>69</v>
      </c>
      <c r="L117" s="2" t="n">
        <v>4</v>
      </c>
      <c r="M117" s="2" t="s">
        <v>59</v>
      </c>
      <c r="N117" s="2"/>
      <c r="O117" s="2" t="s">
        <v>806</v>
      </c>
      <c r="P117" s="2" t="s">
        <v>30</v>
      </c>
      <c r="Q117" s="2" t="s">
        <v>809</v>
      </c>
      <c r="R117" s="2" t="s">
        <v>32</v>
      </c>
    </row>
    <row r="118" customFormat="false" ht="15" hidden="false" customHeight="false" outlineLevel="0" collapsed="false">
      <c r="A118" s="2" t="s">
        <v>810</v>
      </c>
      <c r="B118" s="2" t="s">
        <v>811</v>
      </c>
      <c r="C118" s="2" t="s">
        <v>20</v>
      </c>
      <c r="D118" s="2" t="s">
        <v>21</v>
      </c>
      <c r="E118" s="2" t="s">
        <v>812</v>
      </c>
      <c r="F118" s="2" t="s">
        <v>337</v>
      </c>
      <c r="G118" s="2" t="s">
        <v>55</v>
      </c>
      <c r="H118" s="2" t="s">
        <v>643</v>
      </c>
      <c r="I118" s="2" t="s">
        <v>196</v>
      </c>
      <c r="J118" s="2" t="s">
        <v>813</v>
      </c>
      <c r="K118" s="2" t="s">
        <v>69</v>
      </c>
      <c r="L118" s="2" t="n">
        <v>4</v>
      </c>
      <c r="M118" s="2" t="s">
        <v>59</v>
      </c>
      <c r="N118" s="2"/>
      <c r="O118" s="2" t="s">
        <v>811</v>
      </c>
      <c r="P118" s="2" t="s">
        <v>30</v>
      </c>
      <c r="Q118" s="2" t="s">
        <v>814</v>
      </c>
      <c r="R118" s="2" t="s">
        <v>32</v>
      </c>
    </row>
    <row r="119" customFormat="false" ht="15" hidden="false" customHeight="false" outlineLevel="0" collapsed="false">
      <c r="A119" s="2" t="s">
        <v>815</v>
      </c>
      <c r="B119" s="2" t="s">
        <v>816</v>
      </c>
      <c r="C119" s="2" t="s">
        <v>52</v>
      </c>
      <c r="D119" s="2" t="s">
        <v>532</v>
      </c>
      <c r="E119" s="2" t="s">
        <v>817</v>
      </c>
      <c r="F119" s="2" t="s">
        <v>818</v>
      </c>
      <c r="G119" s="2" t="s">
        <v>254</v>
      </c>
      <c r="H119" s="2" t="s">
        <v>643</v>
      </c>
      <c r="I119" s="2" t="s">
        <v>819</v>
      </c>
      <c r="J119" s="2" t="s">
        <v>820</v>
      </c>
      <c r="K119" s="2" t="s">
        <v>58</v>
      </c>
      <c r="L119" s="2" t="n">
        <v>3</v>
      </c>
      <c r="M119" s="2" t="s">
        <v>59</v>
      </c>
      <c r="N119" s="2"/>
      <c r="O119" s="2" t="s">
        <v>821</v>
      </c>
      <c r="P119" s="2" t="s">
        <v>102</v>
      </c>
      <c r="Q119" s="2" t="s">
        <v>822</v>
      </c>
      <c r="R119" s="2" t="s">
        <v>32</v>
      </c>
    </row>
    <row r="120" customFormat="false" ht="15" hidden="false" customHeight="false" outlineLevel="0" collapsed="false">
      <c r="A120" s="2" t="s">
        <v>823</v>
      </c>
      <c r="B120" s="2" t="s">
        <v>824</v>
      </c>
      <c r="C120" s="2" t="s">
        <v>355</v>
      </c>
      <c r="D120" s="2" t="s">
        <v>107</v>
      </c>
      <c r="E120" s="2" t="s">
        <v>825</v>
      </c>
      <c r="F120" s="2" t="s">
        <v>826</v>
      </c>
      <c r="G120" s="2" t="s">
        <v>254</v>
      </c>
      <c r="H120" s="2" t="s">
        <v>643</v>
      </c>
      <c r="I120" s="2" t="s">
        <v>827</v>
      </c>
      <c r="J120" s="2" t="s">
        <v>828</v>
      </c>
      <c r="K120" s="2" t="s">
        <v>69</v>
      </c>
      <c r="L120" s="2" t="n">
        <v>4</v>
      </c>
      <c r="M120" s="2" t="s">
        <v>59</v>
      </c>
      <c r="N120" s="2" t="n">
        <v>23</v>
      </c>
      <c r="O120" s="2" t="s">
        <v>829</v>
      </c>
      <c r="P120" s="2" t="s">
        <v>30</v>
      </c>
      <c r="Q120" s="2" t="s">
        <v>830</v>
      </c>
      <c r="R120" s="2" t="s">
        <v>32</v>
      </c>
    </row>
    <row r="121" customFormat="false" ht="15" hidden="false" customHeight="false" outlineLevel="0" collapsed="false">
      <c r="A121" s="2" t="s">
        <v>831</v>
      </c>
      <c r="B121" s="2" t="s">
        <v>832</v>
      </c>
      <c r="C121" s="2" t="s">
        <v>64</v>
      </c>
      <c r="D121" s="2" t="s">
        <v>107</v>
      </c>
      <c r="E121" s="2" t="s">
        <v>833</v>
      </c>
      <c r="F121" s="2" t="s">
        <v>834</v>
      </c>
      <c r="G121" s="2" t="s">
        <v>254</v>
      </c>
      <c r="H121" s="2" t="s">
        <v>643</v>
      </c>
      <c r="I121" s="2" t="s">
        <v>802</v>
      </c>
      <c r="J121" s="2" t="s">
        <v>835</v>
      </c>
      <c r="K121" s="2" t="s">
        <v>69</v>
      </c>
      <c r="L121" s="2" t="n">
        <v>4</v>
      </c>
      <c r="M121" s="2" t="s">
        <v>59</v>
      </c>
      <c r="N121" s="2"/>
      <c r="O121" s="2" t="s">
        <v>836</v>
      </c>
      <c r="P121" s="2" t="s">
        <v>30</v>
      </c>
      <c r="Q121" s="2" t="s">
        <v>837</v>
      </c>
      <c r="R121" s="2" t="s">
        <v>32</v>
      </c>
    </row>
    <row r="122" customFormat="false" ht="15" hidden="false" customHeight="false" outlineLevel="0" collapsed="false">
      <c r="A122" s="2" t="s">
        <v>838</v>
      </c>
      <c r="B122" s="2" t="s">
        <v>839</v>
      </c>
      <c r="C122" s="2" t="s">
        <v>455</v>
      </c>
      <c r="D122" s="2" t="s">
        <v>107</v>
      </c>
      <c r="E122" s="2" t="s">
        <v>840</v>
      </c>
      <c r="F122" s="2" t="s">
        <v>253</v>
      </c>
      <c r="G122" s="2" t="s">
        <v>254</v>
      </c>
      <c r="H122" s="2" t="s">
        <v>643</v>
      </c>
      <c r="I122" s="2" t="s">
        <v>196</v>
      </c>
      <c r="J122" s="2" t="s">
        <v>27</v>
      </c>
      <c r="K122" s="2" t="s">
        <v>69</v>
      </c>
      <c r="L122" s="2" t="n">
        <v>4</v>
      </c>
      <c r="M122" s="2" t="s">
        <v>29</v>
      </c>
      <c r="N122" s="2"/>
      <c r="O122" s="2" t="s">
        <v>841</v>
      </c>
      <c r="P122" s="2" t="s">
        <v>102</v>
      </c>
      <c r="Q122" s="2" t="s">
        <v>842</v>
      </c>
      <c r="R122" s="2" t="s">
        <v>32</v>
      </c>
    </row>
    <row r="123" customFormat="false" ht="15" hidden="false" customHeight="false" outlineLevel="0" collapsed="false">
      <c r="A123" s="2" t="s">
        <v>843</v>
      </c>
      <c r="B123" s="2" t="s">
        <v>844</v>
      </c>
      <c r="C123" s="2" t="s">
        <v>355</v>
      </c>
      <c r="D123" s="2" t="s">
        <v>107</v>
      </c>
      <c r="E123" s="2" t="s">
        <v>108</v>
      </c>
      <c r="F123" s="2" t="s">
        <v>845</v>
      </c>
      <c r="G123" s="2" t="s">
        <v>254</v>
      </c>
      <c r="H123" s="2" t="s">
        <v>643</v>
      </c>
      <c r="I123" s="2" t="s">
        <v>846</v>
      </c>
      <c r="J123" s="2" t="s">
        <v>847</v>
      </c>
      <c r="K123" s="2" t="s">
        <v>69</v>
      </c>
      <c r="L123" s="2" t="n">
        <v>4</v>
      </c>
      <c r="M123" s="2" t="s">
        <v>59</v>
      </c>
      <c r="N123" s="2"/>
      <c r="O123" s="2" t="s">
        <v>619</v>
      </c>
      <c r="P123" s="2" t="s">
        <v>30</v>
      </c>
      <c r="Q123" s="2" t="s">
        <v>848</v>
      </c>
      <c r="R123" s="2" t="s">
        <v>32</v>
      </c>
    </row>
    <row r="124" customFormat="false" ht="15" hidden="false" customHeight="false" outlineLevel="0" collapsed="false">
      <c r="A124" s="2" t="s">
        <v>849</v>
      </c>
      <c r="B124" s="2" t="s">
        <v>850</v>
      </c>
      <c r="C124" s="2" t="s">
        <v>355</v>
      </c>
      <c r="D124" s="2" t="s">
        <v>107</v>
      </c>
      <c r="E124" s="2" t="s">
        <v>108</v>
      </c>
      <c r="F124" s="2" t="s">
        <v>845</v>
      </c>
      <c r="G124" s="2" t="s">
        <v>254</v>
      </c>
      <c r="H124" s="2" t="s">
        <v>643</v>
      </c>
      <c r="I124" s="2" t="s">
        <v>196</v>
      </c>
      <c r="J124" s="2" t="s">
        <v>27</v>
      </c>
      <c r="K124" s="2" t="s">
        <v>69</v>
      </c>
      <c r="L124" s="2" t="n">
        <v>4</v>
      </c>
      <c r="M124" s="2" t="s">
        <v>59</v>
      </c>
      <c r="N124" s="2"/>
      <c r="O124" s="2" t="s">
        <v>619</v>
      </c>
      <c r="P124" s="2" t="s">
        <v>30</v>
      </c>
      <c r="Q124" s="2" t="s">
        <v>851</v>
      </c>
      <c r="R124" s="2" t="s">
        <v>32</v>
      </c>
    </row>
    <row r="125" customFormat="false" ht="15" hidden="false" customHeight="false" outlineLevel="0" collapsed="false">
      <c r="A125" s="2" t="s">
        <v>852</v>
      </c>
      <c r="B125" s="2" t="s">
        <v>426</v>
      </c>
      <c r="C125" s="2" t="s">
        <v>427</v>
      </c>
      <c r="D125" s="2" t="s">
        <v>107</v>
      </c>
      <c r="E125" s="2" t="s">
        <v>108</v>
      </c>
      <c r="F125" s="2" t="s">
        <v>845</v>
      </c>
      <c r="G125" s="2" t="s">
        <v>254</v>
      </c>
      <c r="H125" s="2" t="s">
        <v>643</v>
      </c>
      <c r="I125" s="2" t="s">
        <v>853</v>
      </c>
      <c r="J125" s="2" t="s">
        <v>27</v>
      </c>
      <c r="K125" s="2" t="s">
        <v>69</v>
      </c>
      <c r="L125" s="2" t="n">
        <v>4</v>
      </c>
      <c r="M125" s="2" t="s">
        <v>59</v>
      </c>
      <c r="N125" s="2"/>
      <c r="O125" s="2" t="s">
        <v>619</v>
      </c>
      <c r="P125" s="2" t="s">
        <v>30</v>
      </c>
      <c r="Q125" s="2" t="s">
        <v>707</v>
      </c>
      <c r="R125" s="2" t="s">
        <v>32</v>
      </c>
    </row>
    <row r="126" customFormat="false" ht="15" hidden="false" customHeight="false" outlineLevel="0" collapsed="false">
      <c r="A126" s="2" t="s">
        <v>854</v>
      </c>
      <c r="B126" s="2" t="s">
        <v>855</v>
      </c>
      <c r="C126" s="2" t="s">
        <v>35</v>
      </c>
      <c r="D126" s="2" t="s">
        <v>107</v>
      </c>
      <c r="E126" s="2" t="s">
        <v>856</v>
      </c>
      <c r="F126" s="2" t="s">
        <v>292</v>
      </c>
      <c r="G126" s="2" t="s">
        <v>716</v>
      </c>
      <c r="H126" s="2" t="s">
        <v>643</v>
      </c>
      <c r="I126" s="2" t="s">
        <v>857</v>
      </c>
      <c r="J126" s="2" t="s">
        <v>858</v>
      </c>
      <c r="K126" s="2" t="s">
        <v>28</v>
      </c>
      <c r="L126" s="2" t="n">
        <v>2</v>
      </c>
      <c r="M126" s="2" t="s">
        <v>59</v>
      </c>
      <c r="N126" s="2"/>
      <c r="O126" s="2" t="s">
        <v>859</v>
      </c>
      <c r="P126" s="2" t="s">
        <v>102</v>
      </c>
      <c r="Q126" s="2" t="s">
        <v>860</v>
      </c>
      <c r="R126" s="2" t="s">
        <v>32</v>
      </c>
    </row>
    <row r="127" customFormat="false" ht="15" hidden="false" customHeight="false" outlineLevel="0" collapsed="false">
      <c r="A127" s="2" t="s">
        <v>861</v>
      </c>
      <c r="B127" s="2" t="s">
        <v>862</v>
      </c>
      <c r="C127" s="2" t="s">
        <v>35</v>
      </c>
      <c r="D127" s="2" t="s">
        <v>107</v>
      </c>
      <c r="E127" s="2" t="s">
        <v>863</v>
      </c>
      <c r="F127" s="2" t="s">
        <v>292</v>
      </c>
      <c r="G127" s="2" t="s">
        <v>716</v>
      </c>
      <c r="H127" s="2" t="s">
        <v>643</v>
      </c>
      <c r="I127" s="2" t="s">
        <v>864</v>
      </c>
      <c r="J127" s="2" t="s">
        <v>865</v>
      </c>
      <c r="K127" s="2" t="s">
        <v>28</v>
      </c>
      <c r="L127" s="2" t="n">
        <v>2</v>
      </c>
      <c r="M127" s="2" t="s">
        <v>866</v>
      </c>
      <c r="N127" s="2" t="n">
        <v>4</v>
      </c>
      <c r="O127" s="2" t="s">
        <v>867</v>
      </c>
      <c r="P127" s="2" t="s">
        <v>30</v>
      </c>
      <c r="Q127" s="2" t="s">
        <v>868</v>
      </c>
      <c r="R127" s="2" t="s">
        <v>32</v>
      </c>
    </row>
    <row r="128" customFormat="false" ht="15" hidden="false" customHeight="false" outlineLevel="0" collapsed="false">
      <c r="A128" s="2" t="s">
        <v>869</v>
      </c>
      <c r="B128" s="2" t="s">
        <v>870</v>
      </c>
      <c r="C128" s="2" t="s">
        <v>35</v>
      </c>
      <c r="D128" s="2" t="s">
        <v>107</v>
      </c>
      <c r="E128" s="2" t="s">
        <v>871</v>
      </c>
      <c r="F128" s="2" t="s">
        <v>253</v>
      </c>
      <c r="G128" s="2" t="s">
        <v>716</v>
      </c>
      <c r="H128" s="2" t="s">
        <v>643</v>
      </c>
      <c r="I128" s="2" t="s">
        <v>872</v>
      </c>
      <c r="J128" s="2" t="s">
        <v>873</v>
      </c>
      <c r="K128" s="2" t="s">
        <v>28</v>
      </c>
      <c r="L128" s="2" t="n">
        <v>2</v>
      </c>
      <c r="M128" s="2" t="s">
        <v>59</v>
      </c>
      <c r="N128" s="2"/>
      <c r="O128" s="2" t="s">
        <v>874</v>
      </c>
      <c r="P128" s="2" t="s">
        <v>30</v>
      </c>
      <c r="Q128" s="2" t="s">
        <v>875</v>
      </c>
      <c r="R128" s="2" t="s">
        <v>32</v>
      </c>
    </row>
    <row r="129" customFormat="false" ht="15" hidden="false" customHeight="false" outlineLevel="0" collapsed="false">
      <c r="A129" s="2" t="s">
        <v>876</v>
      </c>
      <c r="B129" s="2" t="s">
        <v>877</v>
      </c>
      <c r="C129" s="2" t="s">
        <v>90</v>
      </c>
      <c r="D129" s="2" t="s">
        <v>107</v>
      </c>
      <c r="E129" s="2" t="s">
        <v>878</v>
      </c>
      <c r="F129" s="2" t="s">
        <v>292</v>
      </c>
      <c r="G129" s="2" t="s">
        <v>716</v>
      </c>
      <c r="H129" s="2" t="s">
        <v>643</v>
      </c>
      <c r="I129" s="2" t="s">
        <v>879</v>
      </c>
      <c r="J129" s="2" t="s">
        <v>880</v>
      </c>
      <c r="K129" s="2" t="s">
        <v>28</v>
      </c>
      <c r="L129" s="2" t="n">
        <v>2</v>
      </c>
      <c r="M129" s="2" t="s">
        <v>59</v>
      </c>
      <c r="N129" s="2"/>
      <c r="O129" s="2" t="s">
        <v>881</v>
      </c>
      <c r="P129" s="2" t="s">
        <v>102</v>
      </c>
      <c r="Q129" s="2" t="s">
        <v>882</v>
      </c>
      <c r="R129" s="2" t="s">
        <v>32</v>
      </c>
    </row>
    <row r="130" customFormat="false" ht="15" hidden="false" customHeight="false" outlineLevel="0" collapsed="false">
      <c r="A130" s="2" t="s">
        <v>883</v>
      </c>
      <c r="B130" s="2" t="s">
        <v>884</v>
      </c>
      <c r="C130" s="2" t="s">
        <v>446</v>
      </c>
      <c r="D130" s="2" t="s">
        <v>107</v>
      </c>
      <c r="E130" s="2" t="s">
        <v>885</v>
      </c>
      <c r="F130" s="2" t="s">
        <v>292</v>
      </c>
      <c r="G130" s="2" t="s">
        <v>716</v>
      </c>
      <c r="H130" s="2" t="s">
        <v>643</v>
      </c>
      <c r="I130" s="2" t="s">
        <v>886</v>
      </c>
      <c r="J130" s="2" t="s">
        <v>887</v>
      </c>
      <c r="K130" s="2" t="s">
        <v>28</v>
      </c>
      <c r="L130" s="2" t="n">
        <v>2</v>
      </c>
      <c r="M130" s="2" t="s">
        <v>888</v>
      </c>
      <c r="N130" s="2"/>
      <c r="O130" s="2" t="s">
        <v>889</v>
      </c>
      <c r="P130" s="2" t="s">
        <v>102</v>
      </c>
      <c r="Q130" s="2" t="s">
        <v>890</v>
      </c>
      <c r="R130" s="2" t="s">
        <v>32</v>
      </c>
    </row>
    <row r="131" customFormat="false" ht="15" hidden="false" customHeight="false" outlineLevel="0" collapsed="false">
      <c r="A131" s="2" t="s">
        <v>891</v>
      </c>
      <c r="B131" s="2" t="s">
        <v>892</v>
      </c>
      <c r="C131" s="2" t="s">
        <v>355</v>
      </c>
      <c r="D131" s="2" t="s">
        <v>107</v>
      </c>
      <c r="E131" s="2" t="s">
        <v>893</v>
      </c>
      <c r="F131" s="2" t="s">
        <v>292</v>
      </c>
      <c r="G131" s="2" t="s">
        <v>716</v>
      </c>
      <c r="H131" s="2" t="s">
        <v>643</v>
      </c>
      <c r="I131" s="2" t="s">
        <v>894</v>
      </c>
      <c r="J131" s="2" t="s">
        <v>858</v>
      </c>
      <c r="K131" s="2" t="s">
        <v>28</v>
      </c>
      <c r="L131" s="2" t="n">
        <v>2</v>
      </c>
      <c r="M131" s="2" t="s">
        <v>866</v>
      </c>
      <c r="N131" s="2"/>
      <c r="O131" s="2" t="s">
        <v>619</v>
      </c>
      <c r="P131" s="2" t="s">
        <v>102</v>
      </c>
      <c r="Q131" s="2" t="s">
        <v>895</v>
      </c>
      <c r="R131" s="2" t="s">
        <v>32</v>
      </c>
    </row>
    <row r="132" customFormat="false" ht="15" hidden="false" customHeight="false" outlineLevel="0" collapsed="false">
      <c r="A132" s="2" t="s">
        <v>896</v>
      </c>
      <c r="B132" s="2" t="s">
        <v>897</v>
      </c>
      <c r="C132" s="2" t="s">
        <v>106</v>
      </c>
      <c r="D132" s="2" t="s">
        <v>107</v>
      </c>
      <c r="E132" s="2" t="s">
        <v>898</v>
      </c>
      <c r="F132" s="2" t="s">
        <v>253</v>
      </c>
      <c r="G132" s="2" t="s">
        <v>716</v>
      </c>
      <c r="H132" s="2" t="s">
        <v>643</v>
      </c>
      <c r="I132" s="2" t="s">
        <v>899</v>
      </c>
      <c r="J132" s="2" t="s">
        <v>101</v>
      </c>
      <c r="K132" s="2" t="s">
        <v>28</v>
      </c>
      <c r="L132" s="2" t="n">
        <v>2</v>
      </c>
      <c r="M132" s="2" t="s">
        <v>59</v>
      </c>
      <c r="N132" s="2"/>
      <c r="O132" s="2" t="s">
        <v>900</v>
      </c>
      <c r="P132" s="2" t="s">
        <v>102</v>
      </c>
      <c r="Q132" s="2" t="s">
        <v>901</v>
      </c>
      <c r="R132" s="2" t="s">
        <v>32</v>
      </c>
    </row>
    <row r="133" customFormat="false" ht="15" hidden="false" customHeight="false" outlineLevel="0" collapsed="false">
      <c r="A133" s="2" t="s">
        <v>902</v>
      </c>
      <c r="B133" s="2" t="s">
        <v>903</v>
      </c>
      <c r="C133" s="2" t="s">
        <v>904</v>
      </c>
      <c r="D133" s="2" t="s">
        <v>107</v>
      </c>
      <c r="E133" s="2" t="s">
        <v>905</v>
      </c>
      <c r="F133" s="2" t="s">
        <v>292</v>
      </c>
      <c r="G133" s="2" t="s">
        <v>716</v>
      </c>
      <c r="H133" s="2" t="s">
        <v>643</v>
      </c>
      <c r="I133" s="2" t="s">
        <v>906</v>
      </c>
      <c r="J133" s="2" t="s">
        <v>907</v>
      </c>
      <c r="K133" s="2" t="s">
        <v>58</v>
      </c>
      <c r="L133" s="2" t="n">
        <v>3</v>
      </c>
      <c r="M133" s="2" t="s">
        <v>59</v>
      </c>
      <c r="N133" s="2" t="n">
        <v>46</v>
      </c>
      <c r="O133" s="2" t="s">
        <v>908</v>
      </c>
      <c r="P133" s="2" t="s">
        <v>30</v>
      </c>
      <c r="Q133" s="2" t="s">
        <v>909</v>
      </c>
      <c r="R133" s="2" t="s">
        <v>32</v>
      </c>
    </row>
    <row r="134" customFormat="false" ht="15" hidden="false" customHeight="false" outlineLevel="0" collapsed="false">
      <c r="A134" s="2" t="s">
        <v>910</v>
      </c>
      <c r="B134" s="2" t="s">
        <v>911</v>
      </c>
      <c r="C134" s="2" t="s">
        <v>299</v>
      </c>
      <c r="D134" s="2" t="s">
        <v>107</v>
      </c>
      <c r="E134" s="2" t="s">
        <v>912</v>
      </c>
      <c r="F134" s="2" t="s">
        <v>292</v>
      </c>
      <c r="G134" s="2" t="s">
        <v>716</v>
      </c>
      <c r="H134" s="2" t="s">
        <v>643</v>
      </c>
      <c r="I134" s="2" t="s">
        <v>913</v>
      </c>
      <c r="J134" s="2" t="s">
        <v>914</v>
      </c>
      <c r="K134" s="2" t="s">
        <v>58</v>
      </c>
      <c r="L134" s="2" t="n">
        <v>3</v>
      </c>
      <c r="M134" s="2" t="s">
        <v>59</v>
      </c>
      <c r="N134" s="2"/>
      <c r="O134" s="2" t="s">
        <v>915</v>
      </c>
      <c r="P134" s="2" t="s">
        <v>102</v>
      </c>
      <c r="Q134" s="2" t="s">
        <v>916</v>
      </c>
      <c r="R134" s="2" t="s">
        <v>32</v>
      </c>
    </row>
    <row r="135" customFormat="false" ht="15" hidden="false" customHeight="false" outlineLevel="0" collapsed="false">
      <c r="A135" s="2" t="s">
        <v>917</v>
      </c>
      <c r="B135" s="2" t="s">
        <v>918</v>
      </c>
      <c r="C135" s="2" t="s">
        <v>64</v>
      </c>
      <c r="D135" s="2" t="s">
        <v>107</v>
      </c>
      <c r="E135" s="2" t="s">
        <v>919</v>
      </c>
      <c r="F135" s="2" t="s">
        <v>292</v>
      </c>
      <c r="G135" s="2" t="s">
        <v>716</v>
      </c>
      <c r="H135" s="2" t="s">
        <v>643</v>
      </c>
      <c r="I135" s="2" t="s">
        <v>920</v>
      </c>
      <c r="J135" s="2" t="s">
        <v>556</v>
      </c>
      <c r="K135" s="2" t="s">
        <v>58</v>
      </c>
      <c r="L135" s="2" t="n">
        <v>3</v>
      </c>
      <c r="M135" s="2" t="s">
        <v>59</v>
      </c>
      <c r="N135" s="2"/>
      <c r="O135" s="2" t="s">
        <v>921</v>
      </c>
      <c r="P135" s="2" t="s">
        <v>102</v>
      </c>
      <c r="Q135" s="2" t="s">
        <v>922</v>
      </c>
      <c r="R135" s="2" t="s">
        <v>32</v>
      </c>
    </row>
    <row r="136" customFormat="false" ht="15" hidden="false" customHeight="false" outlineLevel="0" collapsed="false">
      <c r="A136" s="2" t="s">
        <v>923</v>
      </c>
      <c r="B136" s="2" t="s">
        <v>924</v>
      </c>
      <c r="C136" s="2" t="s">
        <v>193</v>
      </c>
      <c r="D136" s="2" t="s">
        <v>107</v>
      </c>
      <c r="E136" s="2" t="s">
        <v>925</v>
      </c>
      <c r="F136" s="2" t="s">
        <v>292</v>
      </c>
      <c r="G136" s="2" t="s">
        <v>716</v>
      </c>
      <c r="H136" s="2" t="s">
        <v>643</v>
      </c>
      <c r="I136" s="2" t="s">
        <v>926</v>
      </c>
      <c r="J136" s="2" t="s">
        <v>914</v>
      </c>
      <c r="K136" s="2" t="s">
        <v>58</v>
      </c>
      <c r="L136" s="2" t="n">
        <v>3</v>
      </c>
      <c r="M136" s="2" t="s">
        <v>59</v>
      </c>
      <c r="N136" s="2"/>
      <c r="O136" s="2" t="s">
        <v>562</v>
      </c>
      <c r="P136" s="2" t="s">
        <v>30</v>
      </c>
      <c r="Q136" s="2" t="s">
        <v>927</v>
      </c>
      <c r="R136" s="2" t="s">
        <v>32</v>
      </c>
    </row>
    <row r="137" customFormat="false" ht="15" hidden="false" customHeight="false" outlineLevel="0" collapsed="false">
      <c r="A137" s="2" t="s">
        <v>928</v>
      </c>
      <c r="B137" s="2" t="s">
        <v>929</v>
      </c>
      <c r="C137" s="2" t="s">
        <v>52</v>
      </c>
      <c r="D137" s="2" t="s">
        <v>107</v>
      </c>
      <c r="E137" s="2" t="s">
        <v>930</v>
      </c>
      <c r="F137" s="2" t="s">
        <v>292</v>
      </c>
      <c r="G137" s="2" t="s">
        <v>716</v>
      </c>
      <c r="H137" s="2" t="s">
        <v>643</v>
      </c>
      <c r="I137" s="2" t="s">
        <v>931</v>
      </c>
      <c r="J137" s="2" t="s">
        <v>932</v>
      </c>
      <c r="K137" s="2" t="s">
        <v>58</v>
      </c>
      <c r="L137" s="2" t="n">
        <v>3</v>
      </c>
      <c r="M137" s="2" t="s">
        <v>29</v>
      </c>
      <c r="N137" s="2"/>
      <c r="O137" s="2" t="s">
        <v>562</v>
      </c>
      <c r="P137" s="2" t="s">
        <v>102</v>
      </c>
      <c r="Q137" s="2" t="s">
        <v>933</v>
      </c>
      <c r="R137" s="2" t="s">
        <v>32</v>
      </c>
    </row>
    <row r="138" customFormat="false" ht="15" hidden="false" customHeight="false" outlineLevel="0" collapsed="false">
      <c r="A138" s="2" t="s">
        <v>934</v>
      </c>
      <c r="B138" s="2" t="s">
        <v>935</v>
      </c>
      <c r="C138" s="2" t="s">
        <v>52</v>
      </c>
      <c r="D138" s="2" t="s">
        <v>107</v>
      </c>
      <c r="E138" s="2" t="s">
        <v>936</v>
      </c>
      <c r="F138" s="2" t="s">
        <v>292</v>
      </c>
      <c r="G138" s="2" t="s">
        <v>716</v>
      </c>
      <c r="H138" s="2" t="s">
        <v>643</v>
      </c>
      <c r="I138" s="2" t="s">
        <v>937</v>
      </c>
      <c r="J138" s="2" t="s">
        <v>938</v>
      </c>
      <c r="K138" s="2" t="s">
        <v>58</v>
      </c>
      <c r="L138" s="2" t="n">
        <v>3</v>
      </c>
      <c r="M138" s="2" t="s">
        <v>59</v>
      </c>
      <c r="N138" s="2"/>
      <c r="O138" s="2" t="s">
        <v>562</v>
      </c>
      <c r="P138" s="2" t="s">
        <v>30</v>
      </c>
      <c r="Q138" s="2" t="s">
        <v>939</v>
      </c>
      <c r="R138" s="2" t="s">
        <v>32</v>
      </c>
    </row>
    <row r="139" customFormat="false" ht="15" hidden="false" customHeight="false" outlineLevel="0" collapsed="false">
      <c r="A139" s="2" t="s">
        <v>940</v>
      </c>
      <c r="B139" s="2" t="s">
        <v>941</v>
      </c>
      <c r="C139" s="2" t="s">
        <v>942</v>
      </c>
      <c r="D139" s="2" t="s">
        <v>107</v>
      </c>
      <c r="E139" s="2" t="s">
        <v>943</v>
      </c>
      <c r="F139" s="2" t="s">
        <v>292</v>
      </c>
      <c r="G139" s="2" t="s">
        <v>716</v>
      </c>
      <c r="H139" s="2" t="s">
        <v>643</v>
      </c>
      <c r="I139" s="2" t="s">
        <v>944</v>
      </c>
      <c r="J139" s="2" t="s">
        <v>556</v>
      </c>
      <c r="K139" s="2" t="s">
        <v>58</v>
      </c>
      <c r="L139" s="2" t="n">
        <v>3</v>
      </c>
      <c r="M139" s="2" t="s">
        <v>59</v>
      </c>
      <c r="N139" s="2"/>
      <c r="O139" s="2" t="s">
        <v>619</v>
      </c>
      <c r="P139" s="2" t="s">
        <v>102</v>
      </c>
      <c r="Q139" s="2" t="s">
        <v>945</v>
      </c>
      <c r="R139" s="2" t="s">
        <v>32</v>
      </c>
    </row>
    <row r="140" customFormat="false" ht="15" hidden="false" customHeight="false" outlineLevel="0" collapsed="false">
      <c r="A140" s="2" t="s">
        <v>946</v>
      </c>
      <c r="B140" s="2" t="s">
        <v>947</v>
      </c>
      <c r="C140" s="2" t="s">
        <v>35</v>
      </c>
      <c r="D140" s="2" t="s">
        <v>107</v>
      </c>
      <c r="E140" s="2" t="s">
        <v>948</v>
      </c>
      <c r="F140" s="2" t="s">
        <v>292</v>
      </c>
      <c r="G140" s="2" t="s">
        <v>716</v>
      </c>
      <c r="H140" s="2" t="s">
        <v>643</v>
      </c>
      <c r="I140" s="2" t="s">
        <v>949</v>
      </c>
      <c r="J140" s="2" t="s">
        <v>950</v>
      </c>
      <c r="K140" s="2" t="s">
        <v>58</v>
      </c>
      <c r="L140" s="2" t="n">
        <v>3</v>
      </c>
      <c r="M140" s="2" t="s">
        <v>59</v>
      </c>
      <c r="N140" s="2" t="s">
        <v>951</v>
      </c>
      <c r="O140" s="2" t="s">
        <v>952</v>
      </c>
      <c r="P140" s="2" t="s">
        <v>102</v>
      </c>
      <c r="Q140" s="2" t="s">
        <v>953</v>
      </c>
      <c r="R140" s="2" t="s">
        <v>32</v>
      </c>
    </row>
    <row r="141" customFormat="false" ht="15" hidden="false" customHeight="false" outlineLevel="0" collapsed="false">
      <c r="A141" s="2" t="s">
        <v>954</v>
      </c>
      <c r="B141" s="2" t="s">
        <v>955</v>
      </c>
      <c r="C141" s="2" t="s">
        <v>956</v>
      </c>
      <c r="D141" s="2" t="s">
        <v>107</v>
      </c>
      <c r="E141" s="2" t="s">
        <v>957</v>
      </c>
      <c r="F141" s="2" t="s">
        <v>292</v>
      </c>
      <c r="G141" s="2" t="s">
        <v>716</v>
      </c>
      <c r="H141" s="2" t="s">
        <v>643</v>
      </c>
      <c r="I141" s="2" t="s">
        <v>944</v>
      </c>
      <c r="J141" s="2" t="s">
        <v>39</v>
      </c>
      <c r="K141" s="2" t="s">
        <v>58</v>
      </c>
      <c r="L141" s="2" t="n">
        <v>3</v>
      </c>
      <c r="M141" s="2" t="s">
        <v>59</v>
      </c>
      <c r="N141" s="2"/>
      <c r="O141" s="2" t="s">
        <v>958</v>
      </c>
      <c r="P141" s="2" t="s">
        <v>30</v>
      </c>
      <c r="Q141" s="2" t="s">
        <v>959</v>
      </c>
      <c r="R141" s="2" t="s">
        <v>32</v>
      </c>
    </row>
    <row r="142" customFormat="false" ht="15" hidden="false" customHeight="false" outlineLevel="0" collapsed="false">
      <c r="A142" s="2" t="s">
        <v>960</v>
      </c>
      <c r="B142" s="2" t="s">
        <v>961</v>
      </c>
      <c r="C142" s="2" t="s">
        <v>115</v>
      </c>
      <c r="D142" s="2" t="s">
        <v>107</v>
      </c>
      <c r="E142" s="2" t="s">
        <v>962</v>
      </c>
      <c r="F142" s="2" t="s">
        <v>292</v>
      </c>
      <c r="G142" s="2" t="s">
        <v>716</v>
      </c>
      <c r="H142" s="2" t="s">
        <v>643</v>
      </c>
      <c r="I142" s="2" t="s">
        <v>944</v>
      </c>
      <c r="J142" s="2" t="s">
        <v>963</v>
      </c>
      <c r="K142" s="2" t="s">
        <v>58</v>
      </c>
      <c r="L142" s="2" t="n">
        <v>3</v>
      </c>
      <c r="M142" s="2" t="s">
        <v>59</v>
      </c>
      <c r="N142" s="2"/>
      <c r="O142" s="2" t="s">
        <v>964</v>
      </c>
      <c r="P142" s="2" t="s">
        <v>30</v>
      </c>
      <c r="Q142" s="2" t="s">
        <v>965</v>
      </c>
      <c r="R142" s="2" t="s">
        <v>32</v>
      </c>
    </row>
    <row r="143" customFormat="false" ht="15" hidden="false" customHeight="false" outlineLevel="0" collapsed="false">
      <c r="A143" s="2" t="s">
        <v>966</v>
      </c>
      <c r="B143" s="2" t="s">
        <v>967</v>
      </c>
      <c r="C143" s="2" t="s">
        <v>968</v>
      </c>
      <c r="D143" s="2" t="s">
        <v>107</v>
      </c>
      <c r="E143" s="2" t="s">
        <v>969</v>
      </c>
      <c r="F143" s="2" t="s">
        <v>292</v>
      </c>
      <c r="G143" s="2" t="s">
        <v>716</v>
      </c>
      <c r="H143" s="2" t="s">
        <v>643</v>
      </c>
      <c r="I143" s="2" t="s">
        <v>944</v>
      </c>
      <c r="J143" s="2" t="s">
        <v>963</v>
      </c>
      <c r="K143" s="2" t="s">
        <v>58</v>
      </c>
      <c r="L143" s="2" t="n">
        <v>3</v>
      </c>
      <c r="M143" s="2" t="s">
        <v>59</v>
      </c>
      <c r="N143" s="2"/>
      <c r="O143" s="2" t="s">
        <v>970</v>
      </c>
      <c r="P143" s="2" t="s">
        <v>30</v>
      </c>
      <c r="Q143" s="2" t="s">
        <v>971</v>
      </c>
      <c r="R143" s="2" t="s">
        <v>32</v>
      </c>
    </row>
    <row r="144" customFormat="false" ht="15" hidden="false" customHeight="false" outlineLevel="0" collapsed="false">
      <c r="A144" s="2" t="s">
        <v>972</v>
      </c>
      <c r="B144" s="2" t="s">
        <v>973</v>
      </c>
      <c r="C144" s="2" t="s">
        <v>115</v>
      </c>
      <c r="D144" s="2" t="s">
        <v>107</v>
      </c>
      <c r="E144" s="2" t="s">
        <v>974</v>
      </c>
      <c r="F144" s="2" t="s">
        <v>292</v>
      </c>
      <c r="G144" s="2" t="s">
        <v>716</v>
      </c>
      <c r="H144" s="2" t="s">
        <v>643</v>
      </c>
      <c r="I144" s="2" t="s">
        <v>944</v>
      </c>
      <c r="J144" s="2" t="s">
        <v>963</v>
      </c>
      <c r="K144" s="2" t="s">
        <v>58</v>
      </c>
      <c r="L144" s="2" t="n">
        <v>3</v>
      </c>
      <c r="M144" s="2" t="s">
        <v>59</v>
      </c>
      <c r="N144" s="2"/>
      <c r="O144" s="2" t="s">
        <v>975</v>
      </c>
      <c r="P144" s="2" t="s">
        <v>102</v>
      </c>
      <c r="Q144" s="2" t="s">
        <v>976</v>
      </c>
      <c r="R144" s="2" t="s">
        <v>32</v>
      </c>
    </row>
    <row r="145" customFormat="false" ht="15" hidden="false" customHeight="false" outlineLevel="0" collapsed="false">
      <c r="A145" s="2" t="s">
        <v>977</v>
      </c>
      <c r="B145" s="2" t="s">
        <v>978</v>
      </c>
      <c r="C145" s="2" t="s">
        <v>52</v>
      </c>
      <c r="D145" s="2" t="s">
        <v>107</v>
      </c>
      <c r="E145" s="2" t="s">
        <v>979</v>
      </c>
      <c r="F145" s="2" t="s">
        <v>292</v>
      </c>
      <c r="G145" s="2" t="s">
        <v>716</v>
      </c>
      <c r="H145" s="2" t="s">
        <v>643</v>
      </c>
      <c r="I145" s="2" t="s">
        <v>944</v>
      </c>
      <c r="J145" s="2" t="s">
        <v>39</v>
      </c>
      <c r="K145" s="2" t="s">
        <v>58</v>
      </c>
      <c r="L145" s="2" t="n">
        <v>3</v>
      </c>
      <c r="M145" s="2" t="s">
        <v>59</v>
      </c>
      <c r="N145" s="2"/>
      <c r="O145" s="2" t="s">
        <v>562</v>
      </c>
      <c r="P145" s="2" t="s">
        <v>30</v>
      </c>
      <c r="Q145" s="2" t="s">
        <v>980</v>
      </c>
      <c r="R145" s="2" t="s">
        <v>32</v>
      </c>
    </row>
    <row r="146" customFormat="false" ht="15" hidden="false" customHeight="false" outlineLevel="0" collapsed="false">
      <c r="A146" s="2" t="s">
        <v>981</v>
      </c>
      <c r="B146" s="2" t="s">
        <v>982</v>
      </c>
      <c r="C146" s="2" t="s">
        <v>513</v>
      </c>
      <c r="D146" s="2" t="s">
        <v>107</v>
      </c>
      <c r="E146" s="2" t="s">
        <v>544</v>
      </c>
      <c r="F146" s="2" t="s">
        <v>292</v>
      </c>
      <c r="G146" s="2" t="s">
        <v>716</v>
      </c>
      <c r="H146" s="2" t="s">
        <v>643</v>
      </c>
      <c r="I146" s="2" t="s">
        <v>983</v>
      </c>
      <c r="J146" s="2" t="s">
        <v>907</v>
      </c>
      <c r="K146" s="2" t="s">
        <v>58</v>
      </c>
      <c r="L146" s="2" t="n">
        <v>3</v>
      </c>
      <c r="M146" s="2" t="s">
        <v>59</v>
      </c>
      <c r="N146" s="2"/>
      <c r="O146" s="2" t="s">
        <v>984</v>
      </c>
      <c r="P146" s="2" t="s">
        <v>102</v>
      </c>
      <c r="Q146" s="2" t="s">
        <v>985</v>
      </c>
      <c r="R146" s="2" t="s">
        <v>261</v>
      </c>
    </row>
    <row r="147" customFormat="false" ht="15" hidden="false" customHeight="false" outlineLevel="0" collapsed="false">
      <c r="A147" s="2" t="s">
        <v>986</v>
      </c>
      <c r="B147" s="2" t="s">
        <v>987</v>
      </c>
      <c r="C147" s="2" t="s">
        <v>513</v>
      </c>
      <c r="D147" s="2" t="s">
        <v>107</v>
      </c>
      <c r="E147" s="2" t="s">
        <v>988</v>
      </c>
      <c r="F147" s="2" t="s">
        <v>292</v>
      </c>
      <c r="G147" s="2" t="s">
        <v>716</v>
      </c>
      <c r="H147" s="2" t="s">
        <v>643</v>
      </c>
      <c r="I147" s="2" t="s">
        <v>989</v>
      </c>
      <c r="J147" s="2" t="s">
        <v>990</v>
      </c>
      <c r="K147" s="2" t="s">
        <v>58</v>
      </c>
      <c r="L147" s="2" t="n">
        <v>3</v>
      </c>
      <c r="M147" s="2" t="s">
        <v>59</v>
      </c>
      <c r="N147" s="2"/>
      <c r="O147" s="2" t="s">
        <v>562</v>
      </c>
      <c r="P147" s="2" t="s">
        <v>30</v>
      </c>
      <c r="Q147" s="2" t="s">
        <v>991</v>
      </c>
      <c r="R147" s="2" t="s">
        <v>32</v>
      </c>
    </row>
    <row r="148" customFormat="false" ht="15" hidden="false" customHeight="false" outlineLevel="0" collapsed="false">
      <c r="A148" s="2" t="s">
        <v>992</v>
      </c>
      <c r="B148" s="2" t="s">
        <v>892</v>
      </c>
      <c r="C148" s="2" t="s">
        <v>355</v>
      </c>
      <c r="D148" s="2" t="s">
        <v>107</v>
      </c>
      <c r="E148" s="2" t="s">
        <v>993</v>
      </c>
      <c r="F148" s="2" t="s">
        <v>219</v>
      </c>
      <c r="G148" s="2" t="s">
        <v>716</v>
      </c>
      <c r="H148" s="2" t="s">
        <v>643</v>
      </c>
      <c r="I148" s="2" t="s">
        <v>994</v>
      </c>
      <c r="J148" s="2" t="s">
        <v>995</v>
      </c>
      <c r="K148" s="2" t="s">
        <v>58</v>
      </c>
      <c r="L148" s="2" t="n">
        <v>3</v>
      </c>
      <c r="M148" s="2" t="s">
        <v>29</v>
      </c>
      <c r="N148" s="2"/>
      <c r="O148" s="2" t="s">
        <v>619</v>
      </c>
      <c r="P148" s="2" t="s">
        <v>102</v>
      </c>
      <c r="Q148" s="2" t="s">
        <v>996</v>
      </c>
      <c r="R148" s="2" t="s">
        <v>32</v>
      </c>
    </row>
    <row r="149" customFormat="false" ht="15" hidden="false" customHeight="false" outlineLevel="0" collapsed="false">
      <c r="A149" s="2" t="s">
        <v>997</v>
      </c>
      <c r="B149" s="2" t="s">
        <v>998</v>
      </c>
      <c r="C149" s="2" t="s">
        <v>90</v>
      </c>
      <c r="D149" s="2" t="s">
        <v>107</v>
      </c>
      <c r="E149" s="2" t="s">
        <v>999</v>
      </c>
      <c r="F149" s="2" t="s">
        <v>253</v>
      </c>
      <c r="G149" s="2" t="s">
        <v>716</v>
      </c>
      <c r="H149" s="2" t="s">
        <v>643</v>
      </c>
      <c r="I149" s="2" t="s">
        <v>1000</v>
      </c>
      <c r="J149" s="2" t="s">
        <v>1001</v>
      </c>
      <c r="K149" s="2" t="s">
        <v>58</v>
      </c>
      <c r="L149" s="2" t="n">
        <v>3</v>
      </c>
      <c r="M149" s="2" t="s">
        <v>59</v>
      </c>
      <c r="N149" s="2"/>
      <c r="O149" s="2" t="s">
        <v>619</v>
      </c>
      <c r="P149" s="2" t="s">
        <v>102</v>
      </c>
      <c r="Q149" s="2" t="s">
        <v>1002</v>
      </c>
      <c r="R149" s="2" t="s">
        <v>32</v>
      </c>
    </row>
    <row r="150" customFormat="false" ht="15" hidden="false" customHeight="false" outlineLevel="0" collapsed="false">
      <c r="A150" s="2" t="s">
        <v>1003</v>
      </c>
      <c r="B150" s="2" t="s">
        <v>1004</v>
      </c>
      <c r="C150" s="2" t="s">
        <v>52</v>
      </c>
      <c r="D150" s="2" t="s">
        <v>107</v>
      </c>
      <c r="E150" s="2" t="s">
        <v>1005</v>
      </c>
      <c r="F150" s="2" t="s">
        <v>219</v>
      </c>
      <c r="G150" s="2" t="s">
        <v>716</v>
      </c>
      <c r="H150" s="2" t="s">
        <v>643</v>
      </c>
      <c r="I150" s="2" t="s">
        <v>1006</v>
      </c>
      <c r="J150" s="2" t="s">
        <v>1007</v>
      </c>
      <c r="K150" s="2" t="s">
        <v>58</v>
      </c>
      <c r="L150" s="2" t="n">
        <v>3</v>
      </c>
      <c r="M150" s="2" t="s">
        <v>29</v>
      </c>
      <c r="N150" s="2"/>
      <c r="O150" s="2" t="s">
        <v>619</v>
      </c>
      <c r="P150" s="2" t="s">
        <v>30</v>
      </c>
      <c r="Q150" s="2" t="s">
        <v>1008</v>
      </c>
      <c r="R150" s="2" t="s">
        <v>32</v>
      </c>
    </row>
    <row r="151" customFormat="false" ht="15" hidden="false" customHeight="false" outlineLevel="0" collapsed="false">
      <c r="A151" s="2" t="s">
        <v>1009</v>
      </c>
      <c r="B151" s="2" t="s">
        <v>1010</v>
      </c>
      <c r="C151" s="2" t="s">
        <v>1011</v>
      </c>
      <c r="D151" s="2" t="s">
        <v>107</v>
      </c>
      <c r="E151" s="2" t="s">
        <v>1012</v>
      </c>
      <c r="F151" s="2" t="s">
        <v>1013</v>
      </c>
      <c r="G151" s="2" t="s">
        <v>716</v>
      </c>
      <c r="H151" s="2" t="s">
        <v>643</v>
      </c>
      <c r="I151" s="2" t="s">
        <v>1014</v>
      </c>
      <c r="J151" s="2" t="s">
        <v>1015</v>
      </c>
      <c r="K151" s="2" t="s">
        <v>69</v>
      </c>
      <c r="L151" s="2" t="n">
        <v>4</v>
      </c>
      <c r="M151" s="2" t="s">
        <v>59</v>
      </c>
      <c r="N151" s="2"/>
      <c r="O151" s="2" t="s">
        <v>1016</v>
      </c>
      <c r="P151" s="2" t="s">
        <v>30</v>
      </c>
      <c r="Q151" s="2" t="s">
        <v>1017</v>
      </c>
      <c r="R151" s="2" t="s">
        <v>32</v>
      </c>
    </row>
    <row r="152" customFormat="false" ht="15" hidden="false" customHeight="false" outlineLevel="0" collapsed="false">
      <c r="A152" s="2" t="s">
        <v>1018</v>
      </c>
      <c r="B152" s="2" t="s">
        <v>1019</v>
      </c>
      <c r="C152" s="2" t="s">
        <v>323</v>
      </c>
      <c r="D152" s="2" t="s">
        <v>107</v>
      </c>
      <c r="E152" s="2" t="s">
        <v>1020</v>
      </c>
      <c r="F152" s="2" t="s">
        <v>292</v>
      </c>
      <c r="G152" s="2" t="s">
        <v>716</v>
      </c>
      <c r="H152" s="2" t="s">
        <v>643</v>
      </c>
      <c r="I152" s="2" t="s">
        <v>1021</v>
      </c>
      <c r="J152" s="2" t="s">
        <v>1022</v>
      </c>
      <c r="K152" s="2" t="s">
        <v>69</v>
      </c>
      <c r="L152" s="2" t="n">
        <v>4</v>
      </c>
      <c r="M152" s="2" t="s">
        <v>59</v>
      </c>
      <c r="N152" s="2"/>
      <c r="O152" s="2" t="s">
        <v>1023</v>
      </c>
      <c r="P152" s="2" t="s">
        <v>30</v>
      </c>
      <c r="Q152" s="2" t="s">
        <v>1024</v>
      </c>
      <c r="R152" s="2" t="s">
        <v>32</v>
      </c>
    </row>
    <row r="153" customFormat="false" ht="15" hidden="false" customHeight="false" outlineLevel="0" collapsed="false">
      <c r="A153" s="2" t="s">
        <v>1025</v>
      </c>
      <c r="B153" s="2" t="s">
        <v>1026</v>
      </c>
      <c r="C153" s="2" t="s">
        <v>513</v>
      </c>
      <c r="D153" s="2" t="s">
        <v>107</v>
      </c>
      <c r="E153" s="2" t="s">
        <v>544</v>
      </c>
      <c r="F153" s="2" t="s">
        <v>292</v>
      </c>
      <c r="G153" s="2" t="s">
        <v>716</v>
      </c>
      <c r="H153" s="2" t="s">
        <v>643</v>
      </c>
      <c r="I153" s="2" t="s">
        <v>1027</v>
      </c>
      <c r="J153" s="2" t="s">
        <v>556</v>
      </c>
      <c r="K153" s="2" t="s">
        <v>69</v>
      </c>
      <c r="L153" s="2" t="n">
        <v>4</v>
      </c>
      <c r="M153" s="2" t="s">
        <v>59</v>
      </c>
      <c r="N153" s="2" t="s">
        <v>1028</v>
      </c>
      <c r="O153" s="2" t="s">
        <v>562</v>
      </c>
      <c r="P153" s="2" t="s">
        <v>30</v>
      </c>
      <c r="Q153" s="2" t="s">
        <v>1029</v>
      </c>
      <c r="R153" s="2" t="s">
        <v>32</v>
      </c>
    </row>
    <row r="154" customFormat="false" ht="15" hidden="false" customHeight="false" outlineLevel="0" collapsed="false">
      <c r="A154" s="2" t="s">
        <v>1030</v>
      </c>
      <c r="B154" s="2" t="s">
        <v>1031</v>
      </c>
      <c r="C154" s="2" t="s">
        <v>35</v>
      </c>
      <c r="D154" s="2" t="s">
        <v>107</v>
      </c>
      <c r="E154" s="2" t="s">
        <v>1032</v>
      </c>
      <c r="F154" s="2" t="s">
        <v>253</v>
      </c>
      <c r="G154" s="2" t="s">
        <v>716</v>
      </c>
      <c r="H154" s="2" t="s">
        <v>643</v>
      </c>
      <c r="I154" s="2" t="s">
        <v>1033</v>
      </c>
      <c r="J154" s="2" t="s">
        <v>1034</v>
      </c>
      <c r="K154" s="2" t="s">
        <v>69</v>
      </c>
      <c r="L154" s="2" t="n">
        <v>4</v>
      </c>
      <c r="M154" s="2" t="s">
        <v>59</v>
      </c>
      <c r="N154" s="2" t="s">
        <v>233</v>
      </c>
      <c r="O154" s="2" t="s">
        <v>619</v>
      </c>
      <c r="P154" s="2" t="s">
        <v>30</v>
      </c>
      <c r="Q154" s="2" t="s">
        <v>1035</v>
      </c>
      <c r="R154" s="2" t="s">
        <v>32</v>
      </c>
    </row>
    <row r="155" customFormat="false" ht="15" hidden="false" customHeight="false" outlineLevel="0" collapsed="false">
      <c r="A155" s="2" t="s">
        <v>1036</v>
      </c>
      <c r="B155" s="2" t="s">
        <v>941</v>
      </c>
      <c r="C155" s="2" t="s">
        <v>942</v>
      </c>
      <c r="D155" s="2" t="s">
        <v>107</v>
      </c>
      <c r="E155" s="2" t="s">
        <v>1037</v>
      </c>
      <c r="F155" s="2" t="s">
        <v>253</v>
      </c>
      <c r="G155" s="2" t="s">
        <v>716</v>
      </c>
      <c r="H155" s="2" t="s">
        <v>643</v>
      </c>
      <c r="I155" s="2" t="s">
        <v>1038</v>
      </c>
      <c r="J155" s="2" t="s">
        <v>1039</v>
      </c>
      <c r="K155" s="2" t="s">
        <v>69</v>
      </c>
      <c r="L155" s="2" t="n">
        <v>4</v>
      </c>
      <c r="M155" s="2" t="s">
        <v>59</v>
      </c>
      <c r="N155" s="2" t="n">
        <v>59</v>
      </c>
      <c r="O155" s="2" t="s">
        <v>1040</v>
      </c>
      <c r="P155" s="2" t="s">
        <v>30</v>
      </c>
      <c r="Q155" s="2" t="s">
        <v>1041</v>
      </c>
      <c r="R155" s="2" t="s">
        <v>32</v>
      </c>
    </row>
    <row r="156" customFormat="false" ht="15" hidden="false" customHeight="false" outlineLevel="0" collapsed="false">
      <c r="A156" s="2" t="s">
        <v>1042</v>
      </c>
      <c r="B156" s="2" t="s">
        <v>1043</v>
      </c>
      <c r="C156" s="2" t="s">
        <v>355</v>
      </c>
      <c r="D156" s="2" t="s">
        <v>107</v>
      </c>
      <c r="E156" s="2" t="s">
        <v>1044</v>
      </c>
      <c r="F156" s="2" t="s">
        <v>253</v>
      </c>
      <c r="G156" s="2" t="s">
        <v>716</v>
      </c>
      <c r="H156" s="2" t="s">
        <v>643</v>
      </c>
      <c r="I156" s="2" t="s">
        <v>1045</v>
      </c>
      <c r="J156" s="2" t="s">
        <v>1039</v>
      </c>
      <c r="K156" s="2" t="s">
        <v>69</v>
      </c>
      <c r="L156" s="2" t="n">
        <v>4</v>
      </c>
      <c r="M156" s="2" t="s">
        <v>59</v>
      </c>
      <c r="N156" s="2"/>
      <c r="O156" s="2" t="s">
        <v>1046</v>
      </c>
      <c r="P156" s="2" t="s">
        <v>102</v>
      </c>
      <c r="Q156" s="2" t="s">
        <v>1047</v>
      </c>
      <c r="R156" s="2" t="s">
        <v>32</v>
      </c>
    </row>
    <row r="157" customFormat="false" ht="15" hidden="false" customHeight="false" outlineLevel="0" collapsed="false">
      <c r="A157" s="2" t="s">
        <v>1048</v>
      </c>
      <c r="B157" s="2" t="s">
        <v>1049</v>
      </c>
      <c r="C157" s="2" t="s">
        <v>1050</v>
      </c>
      <c r="D157" s="2" t="s">
        <v>107</v>
      </c>
      <c r="E157" s="2" t="s">
        <v>1051</v>
      </c>
      <c r="F157" s="2" t="s">
        <v>219</v>
      </c>
      <c r="G157" s="2" t="s">
        <v>716</v>
      </c>
      <c r="H157" s="2" t="s">
        <v>643</v>
      </c>
      <c r="I157" s="2" t="s">
        <v>196</v>
      </c>
      <c r="J157" s="2" t="s">
        <v>27</v>
      </c>
      <c r="K157" s="2" t="s">
        <v>69</v>
      </c>
      <c r="L157" s="2" t="n">
        <v>4</v>
      </c>
      <c r="M157" s="2" t="s">
        <v>29</v>
      </c>
      <c r="N157" s="2"/>
      <c r="O157" s="2" t="s">
        <v>619</v>
      </c>
      <c r="P157" s="2" t="s">
        <v>30</v>
      </c>
      <c r="Q157" s="2" t="s">
        <v>1052</v>
      </c>
      <c r="R157" s="2" t="s">
        <v>32</v>
      </c>
    </row>
    <row r="158" customFormat="false" ht="15" hidden="false" customHeight="false" outlineLevel="0" collapsed="false">
      <c r="A158" s="2" t="s">
        <v>1053</v>
      </c>
      <c r="B158" s="2" t="s">
        <v>1054</v>
      </c>
      <c r="C158" s="2" t="s">
        <v>20</v>
      </c>
      <c r="D158" s="2" t="s">
        <v>107</v>
      </c>
      <c r="E158" s="2" t="s">
        <v>1055</v>
      </c>
      <c r="F158" s="2" t="s">
        <v>253</v>
      </c>
      <c r="G158" s="2" t="s">
        <v>716</v>
      </c>
      <c r="H158" s="2" t="s">
        <v>643</v>
      </c>
      <c r="I158" s="2" t="s">
        <v>196</v>
      </c>
      <c r="J158" s="2" t="s">
        <v>27</v>
      </c>
      <c r="K158" s="2" t="s">
        <v>69</v>
      </c>
      <c r="L158" s="2" t="n">
        <v>4</v>
      </c>
      <c r="M158" s="2" t="s">
        <v>59</v>
      </c>
      <c r="N158" s="2"/>
      <c r="O158" s="2" t="s">
        <v>619</v>
      </c>
      <c r="P158" s="2" t="s">
        <v>30</v>
      </c>
      <c r="Q158" s="2" t="s">
        <v>1056</v>
      </c>
      <c r="R158" s="2" t="s">
        <v>32</v>
      </c>
    </row>
    <row r="159" customFormat="false" ht="15" hidden="false" customHeight="false" outlineLevel="0" collapsed="false">
      <c r="A159" s="2" t="s">
        <v>1057</v>
      </c>
      <c r="B159" s="2" t="s">
        <v>1058</v>
      </c>
      <c r="C159" s="2" t="s">
        <v>455</v>
      </c>
      <c r="D159" s="2" t="s">
        <v>107</v>
      </c>
      <c r="E159" s="2" t="s">
        <v>1059</v>
      </c>
      <c r="F159" s="2" t="s">
        <v>253</v>
      </c>
      <c r="G159" s="2" t="s">
        <v>716</v>
      </c>
      <c r="H159" s="2" t="s">
        <v>643</v>
      </c>
      <c r="I159" s="2" t="s">
        <v>196</v>
      </c>
      <c r="J159" s="2" t="s">
        <v>27</v>
      </c>
      <c r="K159" s="2" t="s">
        <v>69</v>
      </c>
      <c r="L159" s="2" t="n">
        <v>4</v>
      </c>
      <c r="M159" s="2" t="s">
        <v>29</v>
      </c>
      <c r="N159" s="2"/>
      <c r="O159" s="2" t="s">
        <v>619</v>
      </c>
      <c r="P159" s="2" t="s">
        <v>30</v>
      </c>
      <c r="Q159" s="2" t="s">
        <v>1060</v>
      </c>
      <c r="R159" s="2" t="s">
        <v>32</v>
      </c>
    </row>
    <row r="160" customFormat="false" ht="15" hidden="false" customHeight="false" outlineLevel="0" collapsed="false">
      <c r="A160" s="2" t="s">
        <v>1061</v>
      </c>
      <c r="B160" s="2" t="s">
        <v>1062</v>
      </c>
      <c r="C160" s="2" t="s">
        <v>1050</v>
      </c>
      <c r="D160" s="2" t="s">
        <v>107</v>
      </c>
      <c r="E160" s="2" t="s">
        <v>1063</v>
      </c>
      <c r="F160" s="2" t="s">
        <v>253</v>
      </c>
      <c r="G160" s="2" t="s">
        <v>716</v>
      </c>
      <c r="H160" s="2" t="s">
        <v>643</v>
      </c>
      <c r="I160" s="2" t="s">
        <v>196</v>
      </c>
      <c r="J160" s="2" t="s">
        <v>27</v>
      </c>
      <c r="K160" s="2" t="s">
        <v>69</v>
      </c>
      <c r="L160" s="2" t="n">
        <v>4</v>
      </c>
      <c r="M160" s="2" t="s">
        <v>29</v>
      </c>
      <c r="N160" s="2" t="n">
        <v>9</v>
      </c>
      <c r="O160" s="2" t="s">
        <v>1064</v>
      </c>
      <c r="P160" s="2" t="s">
        <v>30</v>
      </c>
      <c r="Q160" s="2" t="s">
        <v>1065</v>
      </c>
      <c r="R160" s="2" t="s">
        <v>32</v>
      </c>
    </row>
    <row r="161" customFormat="false" ht="15" hidden="false" customHeight="false" outlineLevel="0" collapsed="false">
      <c r="A161" s="2" t="s">
        <v>1066</v>
      </c>
      <c r="B161" s="2" t="s">
        <v>1067</v>
      </c>
      <c r="C161" s="2" t="s">
        <v>299</v>
      </c>
      <c r="D161" s="2" t="s">
        <v>107</v>
      </c>
      <c r="E161" s="2" t="s">
        <v>1068</v>
      </c>
      <c r="F161" s="2" t="s">
        <v>253</v>
      </c>
      <c r="G161" s="2" t="s">
        <v>716</v>
      </c>
      <c r="H161" s="2" t="s">
        <v>643</v>
      </c>
      <c r="I161" s="2" t="s">
        <v>196</v>
      </c>
      <c r="J161" s="2" t="s">
        <v>27</v>
      </c>
      <c r="K161" s="2" t="s">
        <v>69</v>
      </c>
      <c r="L161" s="2" t="n">
        <v>4</v>
      </c>
      <c r="M161" s="2" t="s">
        <v>59</v>
      </c>
      <c r="N161" s="2"/>
      <c r="O161" s="2" t="s">
        <v>619</v>
      </c>
      <c r="P161" s="2" t="s">
        <v>30</v>
      </c>
      <c r="Q161" s="2" t="s">
        <v>1069</v>
      </c>
      <c r="R161" s="2" t="s">
        <v>32</v>
      </c>
    </row>
    <row r="162" customFormat="false" ht="15" hidden="false" customHeight="false" outlineLevel="0" collapsed="false">
      <c r="A162" s="2" t="s">
        <v>1070</v>
      </c>
      <c r="B162" s="2" t="s">
        <v>1071</v>
      </c>
      <c r="C162" s="2" t="s">
        <v>427</v>
      </c>
      <c r="D162" s="2" t="s">
        <v>107</v>
      </c>
      <c r="E162" s="2" t="s">
        <v>635</v>
      </c>
      <c r="F162" s="2" t="s">
        <v>253</v>
      </c>
      <c r="G162" s="2" t="s">
        <v>716</v>
      </c>
      <c r="H162" s="2" t="s">
        <v>643</v>
      </c>
      <c r="I162" s="2" t="s">
        <v>196</v>
      </c>
      <c r="J162" s="2" t="s">
        <v>27</v>
      </c>
      <c r="K162" s="2" t="s">
        <v>69</v>
      </c>
      <c r="L162" s="2" t="n">
        <v>4</v>
      </c>
      <c r="M162" s="2" t="s">
        <v>29</v>
      </c>
      <c r="N162" s="2" t="n">
        <v>4</v>
      </c>
      <c r="O162" s="2" t="s">
        <v>1072</v>
      </c>
      <c r="P162" s="2" t="s">
        <v>102</v>
      </c>
      <c r="Q162" s="2" t="s">
        <v>1073</v>
      </c>
      <c r="R162" s="2" t="s">
        <v>32</v>
      </c>
    </row>
    <row r="163" customFormat="false" ht="15" hidden="false" customHeight="false" outlineLevel="0" collapsed="false">
      <c r="A163" s="2" t="s">
        <v>1074</v>
      </c>
      <c r="B163" s="2" t="s">
        <v>1075</v>
      </c>
      <c r="C163" s="2" t="s">
        <v>35</v>
      </c>
      <c r="D163" s="2" t="s">
        <v>107</v>
      </c>
      <c r="E163" s="2" t="s">
        <v>1076</v>
      </c>
      <c r="F163" s="2" t="s">
        <v>292</v>
      </c>
      <c r="G163" s="2" t="s">
        <v>716</v>
      </c>
      <c r="H163" s="2" t="s">
        <v>643</v>
      </c>
      <c r="I163" s="2" t="s">
        <v>1077</v>
      </c>
      <c r="J163" s="2" t="s">
        <v>1078</v>
      </c>
      <c r="K163" s="2" t="s">
        <v>84</v>
      </c>
      <c r="L163" s="2" t="n">
        <v>5</v>
      </c>
      <c r="M163" s="2" t="s">
        <v>866</v>
      </c>
      <c r="N163" s="2"/>
      <c r="O163" s="2" t="s">
        <v>1079</v>
      </c>
      <c r="P163" s="2" t="s">
        <v>30</v>
      </c>
      <c r="Q163" s="2" t="s">
        <v>1080</v>
      </c>
      <c r="R163" s="2" t="s">
        <v>32</v>
      </c>
    </row>
    <row r="164" customFormat="false" ht="15" hidden="false" customHeight="false" outlineLevel="0" collapsed="false">
      <c r="A164" s="2" t="s">
        <v>1081</v>
      </c>
      <c r="B164" s="2" t="s">
        <v>1082</v>
      </c>
      <c r="C164" s="2" t="s">
        <v>52</v>
      </c>
      <c r="D164" s="2" t="s">
        <v>107</v>
      </c>
      <c r="E164" s="2" t="s">
        <v>1083</v>
      </c>
      <c r="F164" s="2" t="s">
        <v>292</v>
      </c>
      <c r="G164" s="2" t="s">
        <v>716</v>
      </c>
      <c r="H164" s="2" t="s">
        <v>643</v>
      </c>
      <c r="I164" s="2" t="s">
        <v>1084</v>
      </c>
      <c r="J164" s="2" t="s">
        <v>1085</v>
      </c>
      <c r="K164" s="2" t="s">
        <v>84</v>
      </c>
      <c r="L164" s="2" t="n">
        <v>5</v>
      </c>
      <c r="M164" s="2" t="s">
        <v>866</v>
      </c>
      <c r="N164" s="2" t="s">
        <v>1086</v>
      </c>
      <c r="O164" s="2" t="s">
        <v>1087</v>
      </c>
      <c r="P164" s="2" t="s">
        <v>30</v>
      </c>
      <c r="Q164" s="2" t="s">
        <v>1088</v>
      </c>
      <c r="R164" s="2" t="s">
        <v>32</v>
      </c>
    </row>
    <row r="165" customFormat="false" ht="15" hidden="false" customHeight="false" outlineLevel="0" collapsed="false">
      <c r="A165" s="2" t="s">
        <v>1089</v>
      </c>
      <c r="B165" s="2" t="s">
        <v>1090</v>
      </c>
      <c r="C165" s="2" t="s">
        <v>73</v>
      </c>
      <c r="D165" s="2" t="s">
        <v>107</v>
      </c>
      <c r="E165" s="2" t="s">
        <v>1091</v>
      </c>
      <c r="F165" s="2" t="s">
        <v>292</v>
      </c>
      <c r="G165" s="2" t="s">
        <v>716</v>
      </c>
      <c r="H165" s="2" t="s">
        <v>1092</v>
      </c>
      <c r="I165" s="2" t="s">
        <v>398</v>
      </c>
      <c r="J165" s="2" t="s">
        <v>1093</v>
      </c>
      <c r="K165" s="2" t="s">
        <v>1094</v>
      </c>
      <c r="L165" s="2" t="n">
        <v>1</v>
      </c>
      <c r="M165" s="2" t="s">
        <v>1095</v>
      </c>
      <c r="N165" s="2" t="n">
        <v>22</v>
      </c>
      <c r="O165" s="2" t="s">
        <v>1096</v>
      </c>
      <c r="P165" s="2" t="s">
        <v>30</v>
      </c>
      <c r="Q165" s="2" t="s">
        <v>1097</v>
      </c>
      <c r="R165" s="2" t="s">
        <v>261</v>
      </c>
    </row>
    <row r="166" customFormat="false" ht="15" hidden="false" customHeight="false" outlineLevel="0" collapsed="false">
      <c r="A166" s="2" t="s">
        <v>1098</v>
      </c>
      <c r="B166" s="2" t="s">
        <v>1099</v>
      </c>
      <c r="C166" s="2" t="s">
        <v>115</v>
      </c>
      <c r="D166" s="2" t="s">
        <v>107</v>
      </c>
      <c r="E166" s="2" t="s">
        <v>1100</v>
      </c>
      <c r="F166" s="2" t="s">
        <v>1101</v>
      </c>
      <c r="G166" s="2" t="s">
        <v>254</v>
      </c>
      <c r="H166" s="2" t="s">
        <v>1102</v>
      </c>
      <c r="I166" s="2" t="s">
        <v>1103</v>
      </c>
      <c r="J166" s="2" t="s">
        <v>1104</v>
      </c>
      <c r="K166" s="2" t="s">
        <v>28</v>
      </c>
      <c r="L166" s="2" t="n">
        <v>2</v>
      </c>
      <c r="M166" s="2" t="s">
        <v>187</v>
      </c>
      <c r="N166" s="2"/>
      <c r="O166" s="2" t="s">
        <v>1099</v>
      </c>
      <c r="P166" s="2" t="s">
        <v>102</v>
      </c>
      <c r="Q166" s="2" t="s">
        <v>1105</v>
      </c>
      <c r="R166" s="2" t="s">
        <v>32</v>
      </c>
    </row>
    <row r="167" customFormat="false" ht="15" hidden="false" customHeight="false" outlineLevel="0" collapsed="false">
      <c r="A167" s="2" t="s">
        <v>1106</v>
      </c>
      <c r="B167" s="2" t="s">
        <v>1107</v>
      </c>
      <c r="C167" s="2" t="s">
        <v>106</v>
      </c>
      <c r="D167" s="2" t="s">
        <v>107</v>
      </c>
      <c r="E167" s="2" t="s">
        <v>1108</v>
      </c>
      <c r="F167" s="2" t="s">
        <v>1109</v>
      </c>
      <c r="G167" s="2" t="s">
        <v>716</v>
      </c>
      <c r="H167" s="2" t="s">
        <v>1102</v>
      </c>
      <c r="I167" s="2" t="s">
        <v>1110</v>
      </c>
      <c r="J167" s="2" t="s">
        <v>1111</v>
      </c>
      <c r="K167" s="2" t="s">
        <v>28</v>
      </c>
      <c r="L167" s="2" t="n">
        <v>2</v>
      </c>
      <c r="M167" s="2" t="s">
        <v>187</v>
      </c>
      <c r="N167" s="2"/>
      <c r="O167" s="2" t="s">
        <v>1112</v>
      </c>
      <c r="P167" s="2" t="s">
        <v>102</v>
      </c>
      <c r="Q167" s="2" t="s">
        <v>1113</v>
      </c>
      <c r="R167" s="2" t="s">
        <v>32</v>
      </c>
    </row>
    <row r="168" customFormat="false" ht="15" hidden="false" customHeight="false" outlineLevel="0" collapsed="false">
      <c r="A168" s="2" t="s">
        <v>1114</v>
      </c>
      <c r="B168" s="2" t="s">
        <v>1115</v>
      </c>
      <c r="C168" s="2" t="s">
        <v>355</v>
      </c>
      <c r="D168" s="2" t="s">
        <v>107</v>
      </c>
      <c r="E168" s="2" t="s">
        <v>158</v>
      </c>
      <c r="F168" s="2" t="s">
        <v>1116</v>
      </c>
      <c r="G168" s="2" t="s">
        <v>55</v>
      </c>
      <c r="H168" s="2" t="s">
        <v>1102</v>
      </c>
      <c r="I168" s="2" t="s">
        <v>1117</v>
      </c>
      <c r="J168" s="2" t="s">
        <v>1118</v>
      </c>
      <c r="K168" s="2" t="s">
        <v>69</v>
      </c>
      <c r="L168" s="2" t="n">
        <v>4</v>
      </c>
      <c r="M168" s="2" t="s">
        <v>29</v>
      </c>
      <c r="N168" s="2"/>
      <c r="O168" s="2" t="s">
        <v>1119</v>
      </c>
      <c r="P168" s="2" t="s">
        <v>30</v>
      </c>
      <c r="Q168" s="2" t="s">
        <v>1120</v>
      </c>
      <c r="R168" s="2" t="s">
        <v>32</v>
      </c>
    </row>
    <row r="169" customFormat="false" ht="15" hidden="false" customHeight="false" outlineLevel="0" collapsed="false">
      <c r="A169" s="2" t="s">
        <v>1121</v>
      </c>
      <c r="B169" s="2" t="s">
        <v>1122</v>
      </c>
      <c r="C169" s="2" t="s">
        <v>35</v>
      </c>
      <c r="D169" s="2" t="s">
        <v>107</v>
      </c>
      <c r="E169" s="2" t="s">
        <v>1123</v>
      </c>
      <c r="F169" s="2" t="s">
        <v>1124</v>
      </c>
      <c r="G169" s="2" t="s">
        <v>254</v>
      </c>
      <c r="H169" s="2" t="s">
        <v>1102</v>
      </c>
      <c r="I169" s="2" t="s">
        <v>1125</v>
      </c>
      <c r="J169" s="2" t="s">
        <v>1126</v>
      </c>
      <c r="K169" s="2" t="s">
        <v>69</v>
      </c>
      <c r="L169" s="2" t="n">
        <v>4</v>
      </c>
      <c r="M169" s="2" t="s">
        <v>187</v>
      </c>
      <c r="N169" s="2"/>
      <c r="O169" s="2" t="s">
        <v>1127</v>
      </c>
      <c r="P169" s="2" t="s">
        <v>102</v>
      </c>
      <c r="Q169" s="2" t="s">
        <v>1128</v>
      </c>
      <c r="R169" s="2" t="s">
        <v>32</v>
      </c>
    </row>
    <row r="170" customFormat="false" ht="15" hidden="false" customHeight="false" outlineLevel="0" collapsed="false">
      <c r="A170" s="2" t="s">
        <v>1129</v>
      </c>
      <c r="B170" s="2" t="s">
        <v>1130</v>
      </c>
      <c r="C170" s="2" t="s">
        <v>1131</v>
      </c>
      <c r="D170" s="2" t="s">
        <v>107</v>
      </c>
      <c r="E170" s="2" t="s">
        <v>1132</v>
      </c>
      <c r="F170" s="2" t="s">
        <v>253</v>
      </c>
      <c r="G170" s="2" t="s">
        <v>716</v>
      </c>
      <c r="H170" s="2" t="s">
        <v>1102</v>
      </c>
      <c r="I170" s="2" t="s">
        <v>1133</v>
      </c>
      <c r="J170" s="2" t="s">
        <v>907</v>
      </c>
      <c r="K170" s="2" t="s">
        <v>58</v>
      </c>
      <c r="L170" s="2" t="n">
        <v>3</v>
      </c>
      <c r="M170" s="2" t="s">
        <v>29</v>
      </c>
      <c r="N170" s="2" t="n">
        <v>10</v>
      </c>
      <c r="O170" s="2" t="s">
        <v>1134</v>
      </c>
      <c r="P170" s="2" t="s">
        <v>30</v>
      </c>
      <c r="Q170" s="2" t="s">
        <v>1135</v>
      </c>
      <c r="R170" s="2" t="s">
        <v>32</v>
      </c>
    </row>
    <row r="171" customFormat="false" ht="15" hidden="false" customHeight="false" outlineLevel="0" collapsed="false">
      <c r="A171" s="2" t="s">
        <v>1136</v>
      </c>
      <c r="B171" s="2" t="s">
        <v>1137</v>
      </c>
      <c r="C171" s="2" t="s">
        <v>64</v>
      </c>
      <c r="D171" s="2" t="s">
        <v>107</v>
      </c>
      <c r="E171" s="2" t="s">
        <v>1138</v>
      </c>
      <c r="F171" s="2" t="s">
        <v>292</v>
      </c>
      <c r="G171" s="2" t="s">
        <v>716</v>
      </c>
      <c r="H171" s="2" t="s">
        <v>1102</v>
      </c>
      <c r="I171" s="2" t="s">
        <v>906</v>
      </c>
      <c r="J171" s="2" t="s">
        <v>907</v>
      </c>
      <c r="K171" s="2" t="s">
        <v>58</v>
      </c>
      <c r="L171" s="2" t="n">
        <v>3</v>
      </c>
      <c r="M171" s="2" t="s">
        <v>59</v>
      </c>
      <c r="N171" s="2" t="s">
        <v>1139</v>
      </c>
      <c r="O171" s="2" t="s">
        <v>1140</v>
      </c>
      <c r="P171" s="2" t="s">
        <v>30</v>
      </c>
      <c r="Q171" s="2" t="s">
        <v>1141</v>
      </c>
      <c r="R171" s="2" t="s">
        <v>32</v>
      </c>
    </row>
    <row r="172" customFormat="false" ht="15" hidden="false" customHeight="false" outlineLevel="0" collapsed="false">
      <c r="A172" s="2" t="s">
        <v>1142</v>
      </c>
      <c r="B172" s="2" t="s">
        <v>1143</v>
      </c>
      <c r="C172" s="2" t="s">
        <v>942</v>
      </c>
      <c r="D172" s="2" t="s">
        <v>107</v>
      </c>
      <c r="E172" s="2" t="s">
        <v>1144</v>
      </c>
      <c r="F172" s="2" t="s">
        <v>292</v>
      </c>
      <c r="G172" s="2" t="s">
        <v>716</v>
      </c>
      <c r="H172" s="2" t="s">
        <v>1102</v>
      </c>
      <c r="I172" s="2" t="s">
        <v>1145</v>
      </c>
      <c r="J172" s="2" t="s">
        <v>556</v>
      </c>
      <c r="K172" s="2" t="s">
        <v>58</v>
      </c>
      <c r="L172" s="2" t="n">
        <v>3</v>
      </c>
      <c r="M172" s="2" t="s">
        <v>59</v>
      </c>
      <c r="N172" s="2"/>
      <c r="O172" s="2" t="s">
        <v>562</v>
      </c>
      <c r="P172" s="2" t="s">
        <v>30</v>
      </c>
      <c r="Q172" s="2" t="s">
        <v>1146</v>
      </c>
      <c r="R172" s="2" t="s">
        <v>32</v>
      </c>
    </row>
    <row r="173" customFormat="false" ht="15" hidden="false" customHeight="false" outlineLevel="0" collapsed="false">
      <c r="A173" s="2" t="s">
        <v>1147</v>
      </c>
      <c r="B173" s="2" t="s">
        <v>1148</v>
      </c>
      <c r="C173" s="2" t="s">
        <v>942</v>
      </c>
      <c r="D173" s="2" t="s">
        <v>107</v>
      </c>
      <c r="E173" s="2" t="s">
        <v>1149</v>
      </c>
      <c r="F173" s="2" t="s">
        <v>292</v>
      </c>
      <c r="G173" s="2" t="s">
        <v>716</v>
      </c>
      <c r="H173" s="2" t="s">
        <v>1102</v>
      </c>
      <c r="I173" s="2" t="s">
        <v>944</v>
      </c>
      <c r="J173" s="2" t="s">
        <v>556</v>
      </c>
      <c r="K173" s="2" t="s">
        <v>58</v>
      </c>
      <c r="L173" s="2" t="n">
        <v>3</v>
      </c>
      <c r="M173" s="2" t="s">
        <v>29</v>
      </c>
      <c r="N173" s="2"/>
      <c r="O173" s="2" t="s">
        <v>562</v>
      </c>
      <c r="P173" s="2" t="s">
        <v>30</v>
      </c>
      <c r="Q173" s="2" t="s">
        <v>1150</v>
      </c>
      <c r="R173" s="2" t="s">
        <v>32</v>
      </c>
    </row>
    <row r="174" customFormat="false" ht="15" hidden="false" customHeight="false" outlineLevel="0" collapsed="false">
      <c r="A174" s="2" t="s">
        <v>1151</v>
      </c>
      <c r="B174" s="2" t="s">
        <v>1152</v>
      </c>
      <c r="C174" s="2" t="s">
        <v>52</v>
      </c>
      <c r="D174" s="2" t="s">
        <v>107</v>
      </c>
      <c r="E174" s="2" t="s">
        <v>1083</v>
      </c>
      <c r="F174" s="2" t="s">
        <v>292</v>
      </c>
      <c r="G174" s="2" t="s">
        <v>716</v>
      </c>
      <c r="H174" s="2" t="s">
        <v>1102</v>
      </c>
      <c r="I174" s="2" t="s">
        <v>1153</v>
      </c>
      <c r="J174" s="2" t="s">
        <v>914</v>
      </c>
      <c r="K174" s="2" t="s">
        <v>58</v>
      </c>
      <c r="L174" s="2" t="n">
        <v>3</v>
      </c>
      <c r="M174" s="2" t="s">
        <v>59</v>
      </c>
      <c r="N174" s="2"/>
      <c r="O174" s="2" t="s">
        <v>562</v>
      </c>
      <c r="P174" s="2" t="s">
        <v>30</v>
      </c>
      <c r="Q174" s="2" t="s">
        <v>1154</v>
      </c>
      <c r="R174" s="2" t="s">
        <v>32</v>
      </c>
    </row>
    <row r="175" customFormat="false" ht="15" hidden="false" customHeight="false" outlineLevel="0" collapsed="false">
      <c r="A175" s="2" t="s">
        <v>1155</v>
      </c>
      <c r="B175" s="2" t="s">
        <v>1156</v>
      </c>
      <c r="C175" s="2" t="s">
        <v>73</v>
      </c>
      <c r="D175" s="2" t="s">
        <v>107</v>
      </c>
      <c r="E175" s="2" t="s">
        <v>1157</v>
      </c>
      <c r="F175" s="2" t="s">
        <v>253</v>
      </c>
      <c r="G175" s="2" t="s">
        <v>716</v>
      </c>
      <c r="H175" s="2" t="s">
        <v>1102</v>
      </c>
      <c r="I175" s="2" t="s">
        <v>1158</v>
      </c>
      <c r="J175" s="2" t="s">
        <v>27</v>
      </c>
      <c r="K175" s="2" t="s">
        <v>69</v>
      </c>
      <c r="L175" s="2" t="n">
        <v>4</v>
      </c>
      <c r="M175" s="2" t="s">
        <v>29</v>
      </c>
      <c r="N175" s="2" t="n">
        <v>4</v>
      </c>
      <c r="O175" s="2" t="s">
        <v>619</v>
      </c>
      <c r="P175" s="2" t="s">
        <v>102</v>
      </c>
      <c r="Q175" s="2" t="s">
        <v>1159</v>
      </c>
      <c r="R175" s="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7" min="5" style="0" width="14"/>
  </cols>
  <sheetData>
    <row r="1" customFormat="false" ht="15" hidden="false" customHeight="false" outlineLevel="0" collapsed="false">
      <c r="A1" s="1" t="s">
        <v>1160</v>
      </c>
      <c r="B1" s="1" t="s">
        <v>1161</v>
      </c>
      <c r="C1" s="1" t="s">
        <v>1162</v>
      </c>
      <c r="D1" s="1" t="s">
        <v>1163</v>
      </c>
      <c r="E1" s="1" t="s">
        <v>1164</v>
      </c>
      <c r="F1" s="1" t="s">
        <v>1165</v>
      </c>
      <c r="G1" s="1" t="s">
        <v>1166</v>
      </c>
    </row>
    <row r="2" customFormat="false" ht="15" hidden="false" customHeight="false" outlineLevel="0" collapsed="false">
      <c r="A2" s="2" t="s">
        <v>1167</v>
      </c>
      <c r="B2" s="2" t="s">
        <v>1168</v>
      </c>
      <c r="C2" s="2" t="s">
        <v>35</v>
      </c>
      <c r="D2" s="2" t="s">
        <v>1169</v>
      </c>
      <c r="E2" s="2" t="n">
        <v>0</v>
      </c>
      <c r="F2" s="2" t="n">
        <v>1</v>
      </c>
      <c r="G2" s="2" t="s">
        <v>32</v>
      </c>
    </row>
    <row r="3" customFormat="false" ht="15" hidden="false" customHeight="false" outlineLevel="0" collapsed="false">
      <c r="A3" s="2" t="s">
        <v>1170</v>
      </c>
      <c r="B3" s="2" t="s">
        <v>1171</v>
      </c>
      <c r="C3" s="2" t="s">
        <v>20</v>
      </c>
      <c r="D3" s="2" t="s">
        <v>1169</v>
      </c>
      <c r="E3" s="2" t="n">
        <v>0</v>
      </c>
      <c r="F3" s="2" t="n">
        <v>1</v>
      </c>
      <c r="G3" s="2" t="s">
        <v>261</v>
      </c>
    </row>
    <row r="4" customFormat="false" ht="15" hidden="false" customHeight="false" outlineLevel="0" collapsed="false">
      <c r="A4" s="2" t="s">
        <v>1172</v>
      </c>
      <c r="B4" s="2" t="s">
        <v>1173</v>
      </c>
      <c r="C4" s="2" t="s">
        <v>299</v>
      </c>
      <c r="D4" s="2" t="s">
        <v>1169</v>
      </c>
      <c r="E4" s="2" t="n">
        <v>0</v>
      </c>
      <c r="F4" s="2" t="n">
        <v>1</v>
      </c>
      <c r="G4" s="2" t="s">
        <v>32</v>
      </c>
    </row>
    <row r="5" customFormat="false" ht="15" hidden="false" customHeight="false" outlineLevel="0" collapsed="false">
      <c r="A5" s="2" t="s">
        <v>1174</v>
      </c>
      <c r="B5" s="2" t="s">
        <v>1175</v>
      </c>
      <c r="C5" s="2" t="s">
        <v>90</v>
      </c>
      <c r="D5" s="2" t="s">
        <v>1169</v>
      </c>
      <c r="E5" s="2" t="n">
        <v>0</v>
      </c>
      <c r="F5" s="2" t="n">
        <v>1</v>
      </c>
      <c r="G5" s="2" t="s">
        <v>32</v>
      </c>
    </row>
    <row r="6" customFormat="false" ht="15" hidden="false" customHeight="false" outlineLevel="0" collapsed="false">
      <c r="A6" s="2" t="s">
        <v>1176</v>
      </c>
      <c r="B6" s="2" t="s">
        <v>1177</v>
      </c>
      <c r="C6" s="2" t="s">
        <v>20</v>
      </c>
      <c r="D6" s="2" t="s">
        <v>1169</v>
      </c>
      <c r="E6" s="2" t="n">
        <v>0</v>
      </c>
      <c r="F6" s="2" t="n">
        <v>1</v>
      </c>
      <c r="G6" s="2" t="s">
        <v>261</v>
      </c>
    </row>
    <row r="7" customFormat="false" ht="15" hidden="false" customHeight="false" outlineLevel="0" collapsed="false">
      <c r="A7" s="2" t="s">
        <v>1178</v>
      </c>
      <c r="B7" s="2" t="s">
        <v>1179</v>
      </c>
      <c r="C7" s="2" t="s">
        <v>20</v>
      </c>
      <c r="D7" s="2" t="s">
        <v>1169</v>
      </c>
      <c r="E7" s="2" t="n">
        <v>0</v>
      </c>
      <c r="F7" s="2" t="n">
        <v>1</v>
      </c>
      <c r="G7" s="2" t="s">
        <v>261</v>
      </c>
    </row>
    <row r="8" customFormat="false" ht="15" hidden="false" customHeight="false" outlineLevel="0" collapsed="false">
      <c r="A8" s="2" t="s">
        <v>1180</v>
      </c>
      <c r="B8" s="2" t="s">
        <v>1181</v>
      </c>
      <c r="C8" s="2" t="s">
        <v>224</v>
      </c>
      <c r="D8" s="2" t="s">
        <v>1169</v>
      </c>
      <c r="E8" s="2" t="n">
        <v>0</v>
      </c>
      <c r="F8" s="2" t="n">
        <v>1</v>
      </c>
      <c r="G8" s="2" t="s">
        <v>32</v>
      </c>
    </row>
    <row r="9" customFormat="false" ht="15" hidden="false" customHeight="false" outlineLevel="0" collapsed="false">
      <c r="A9" s="2" t="s">
        <v>1182</v>
      </c>
      <c r="B9" s="2" t="s">
        <v>1183</v>
      </c>
      <c r="C9" s="2" t="s">
        <v>35</v>
      </c>
      <c r="D9" s="2" t="s">
        <v>1169</v>
      </c>
      <c r="E9" s="2" t="n">
        <v>0</v>
      </c>
      <c r="F9" s="2" t="n">
        <v>1</v>
      </c>
      <c r="G9" s="2" t="s">
        <v>261</v>
      </c>
    </row>
    <row r="10" customFormat="false" ht="15" hidden="false" customHeight="false" outlineLevel="0" collapsed="false">
      <c r="A10" s="2" t="s">
        <v>1184</v>
      </c>
      <c r="B10" s="2" t="s">
        <v>1185</v>
      </c>
      <c r="C10" s="2" t="s">
        <v>20</v>
      </c>
      <c r="D10" s="2" t="s">
        <v>1169</v>
      </c>
      <c r="E10" s="2" t="n">
        <v>0</v>
      </c>
      <c r="F10" s="2" t="n">
        <v>1</v>
      </c>
      <c r="G10" s="2" t="s">
        <v>261</v>
      </c>
    </row>
    <row r="11" customFormat="false" ht="15" hidden="false" customHeight="false" outlineLevel="0" collapsed="false">
      <c r="A11" s="2" t="s">
        <v>1186</v>
      </c>
      <c r="B11" s="2" t="s">
        <v>1187</v>
      </c>
      <c r="C11" s="2" t="s">
        <v>20</v>
      </c>
      <c r="D11" s="2" t="s">
        <v>1169</v>
      </c>
      <c r="E11" s="2" t="n">
        <v>0</v>
      </c>
      <c r="F11" s="2" t="n">
        <v>1</v>
      </c>
      <c r="G11" s="2" t="s">
        <v>261</v>
      </c>
    </row>
    <row r="12" customFormat="false" ht="15" hidden="false" customHeight="false" outlineLevel="0" collapsed="false">
      <c r="A12" s="2" t="s">
        <v>1188</v>
      </c>
      <c r="B12" s="2" t="s">
        <v>1189</v>
      </c>
      <c r="C12" s="2" t="s">
        <v>20</v>
      </c>
      <c r="D12" s="2" t="s">
        <v>1169</v>
      </c>
      <c r="E12" s="2" t="n">
        <v>0</v>
      </c>
      <c r="F12" s="2" t="n">
        <v>2</v>
      </c>
      <c r="G12" s="2" t="s">
        <v>261</v>
      </c>
    </row>
    <row r="13" customFormat="false" ht="15" hidden="false" customHeight="false" outlineLevel="0" collapsed="false">
      <c r="A13" s="2" t="s">
        <v>1190</v>
      </c>
      <c r="B13" s="2" t="s">
        <v>1191</v>
      </c>
      <c r="C13" s="2" t="s">
        <v>20</v>
      </c>
      <c r="D13" s="2" t="s">
        <v>1169</v>
      </c>
      <c r="E13" s="2" t="n">
        <v>0</v>
      </c>
      <c r="F13" s="2" t="n">
        <v>1</v>
      </c>
      <c r="G13" s="2" t="s">
        <v>261</v>
      </c>
    </row>
    <row r="14" customFormat="false" ht="15" hidden="false" customHeight="false" outlineLevel="0" collapsed="false">
      <c r="A14" s="2" t="s">
        <v>1192</v>
      </c>
      <c r="B14" s="2" t="s">
        <v>1193</v>
      </c>
      <c r="C14" s="2" t="s">
        <v>299</v>
      </c>
      <c r="D14" s="2" t="s">
        <v>1169</v>
      </c>
      <c r="E14" s="2" t="n">
        <v>0</v>
      </c>
      <c r="F14" s="2" t="n">
        <v>1</v>
      </c>
      <c r="G14" s="2" t="s">
        <v>261</v>
      </c>
    </row>
    <row r="15" customFormat="false" ht="15" hidden="false" customHeight="false" outlineLevel="0" collapsed="false">
      <c r="A15" s="2" t="s">
        <v>1194</v>
      </c>
      <c r="B15" s="2" t="s">
        <v>1195</v>
      </c>
      <c r="C15" s="2" t="s">
        <v>20</v>
      </c>
      <c r="D15" s="2" t="s">
        <v>1169</v>
      </c>
      <c r="E15" s="2" t="n">
        <v>0</v>
      </c>
      <c r="F15" s="2" t="n">
        <v>1</v>
      </c>
      <c r="G15" s="2" t="s">
        <v>261</v>
      </c>
    </row>
    <row r="16" customFormat="false" ht="15" hidden="false" customHeight="false" outlineLevel="0" collapsed="false">
      <c r="A16" s="2" t="s">
        <v>1196</v>
      </c>
      <c r="B16" s="2" t="s">
        <v>1197</v>
      </c>
      <c r="C16" s="2" t="s">
        <v>20</v>
      </c>
      <c r="D16" s="2" t="s">
        <v>1169</v>
      </c>
      <c r="E16" s="2" t="n">
        <v>0</v>
      </c>
      <c r="F16" s="2" t="n">
        <v>1</v>
      </c>
      <c r="G16" s="2" t="s">
        <v>261</v>
      </c>
    </row>
    <row r="17" customFormat="false" ht="15" hidden="false" customHeight="false" outlineLevel="0" collapsed="false">
      <c r="A17" s="2" t="s">
        <v>1198</v>
      </c>
      <c r="B17" s="2" t="s">
        <v>1199</v>
      </c>
      <c r="C17" s="2" t="s">
        <v>20</v>
      </c>
      <c r="D17" s="2" t="s">
        <v>1169</v>
      </c>
      <c r="E17" s="2" t="n">
        <v>0</v>
      </c>
      <c r="F17" s="2" t="n">
        <v>1</v>
      </c>
      <c r="G17" s="2" t="s">
        <v>261</v>
      </c>
    </row>
    <row r="18" customFormat="false" ht="15" hidden="false" customHeight="false" outlineLevel="0" collapsed="false">
      <c r="A18" s="2" t="s">
        <v>1200</v>
      </c>
      <c r="B18" s="2" t="s">
        <v>1201</v>
      </c>
      <c r="C18" s="2" t="s">
        <v>35</v>
      </c>
      <c r="D18" s="2" t="s">
        <v>1169</v>
      </c>
      <c r="E18" s="2" t="n">
        <v>0</v>
      </c>
      <c r="F18" s="2" t="n">
        <v>1</v>
      </c>
      <c r="G18" s="2" t="s">
        <v>261</v>
      </c>
    </row>
    <row r="19" customFormat="false" ht="15" hidden="false" customHeight="false" outlineLevel="0" collapsed="false">
      <c r="A19" s="2" t="s">
        <v>1202</v>
      </c>
      <c r="B19" s="2" t="s">
        <v>1203</v>
      </c>
      <c r="C19" s="2" t="s">
        <v>20</v>
      </c>
      <c r="D19" s="2" t="s">
        <v>1169</v>
      </c>
      <c r="E19" s="2" t="n">
        <v>0</v>
      </c>
      <c r="F19" s="2" t="n">
        <v>2</v>
      </c>
      <c r="G19" s="2" t="s">
        <v>261</v>
      </c>
    </row>
    <row r="20" customFormat="false" ht="15" hidden="false" customHeight="false" outlineLevel="0" collapsed="false">
      <c r="A20" s="2" t="s">
        <v>1204</v>
      </c>
      <c r="B20" s="2" t="s">
        <v>1205</v>
      </c>
      <c r="C20" s="2" t="s">
        <v>115</v>
      </c>
      <c r="D20" s="2" t="s">
        <v>1206</v>
      </c>
      <c r="E20" s="2" t="n">
        <v>1</v>
      </c>
      <c r="F20" s="2" t="n">
        <v>0</v>
      </c>
      <c r="G20" s="2"/>
    </row>
    <row r="21" customFormat="false" ht="15" hidden="false" customHeight="false" outlineLevel="0" collapsed="false">
      <c r="A21" s="2" t="s">
        <v>1207</v>
      </c>
      <c r="B21" s="2" t="s">
        <v>1208</v>
      </c>
      <c r="C21" s="2" t="s">
        <v>299</v>
      </c>
      <c r="D21" s="2" t="s">
        <v>1169</v>
      </c>
      <c r="E21" s="2" t="n">
        <v>0</v>
      </c>
      <c r="F21" s="2" t="n">
        <v>1</v>
      </c>
      <c r="G21" s="2" t="s">
        <v>261</v>
      </c>
    </row>
    <row r="22" customFormat="false" ht="15" hidden="false" customHeight="false" outlineLevel="0" collapsed="false">
      <c r="A22" s="2" t="s">
        <v>1209</v>
      </c>
      <c r="B22" s="2" t="s">
        <v>1210</v>
      </c>
      <c r="C22" s="2" t="s">
        <v>355</v>
      </c>
      <c r="D22" s="2" t="s">
        <v>1206</v>
      </c>
      <c r="E22" s="2" t="n">
        <v>1</v>
      </c>
      <c r="F22" s="2" t="n">
        <v>0</v>
      </c>
      <c r="G22" s="2"/>
    </row>
    <row r="23" customFormat="false" ht="15" hidden="false" customHeight="false" outlineLevel="0" collapsed="false">
      <c r="A23" s="2" t="s">
        <v>1211</v>
      </c>
      <c r="B23" s="2" t="s">
        <v>1212</v>
      </c>
      <c r="C23" s="2" t="s">
        <v>106</v>
      </c>
      <c r="D23" s="2" t="s">
        <v>1169</v>
      </c>
      <c r="E23" s="2" t="n">
        <v>0</v>
      </c>
      <c r="F23" s="2" t="n">
        <v>1</v>
      </c>
      <c r="G23" s="2" t="s">
        <v>32</v>
      </c>
    </row>
    <row r="24" customFormat="false" ht="15" hidden="false" customHeight="false" outlineLevel="0" collapsed="false">
      <c r="A24" s="2" t="s">
        <v>1213</v>
      </c>
      <c r="B24" s="2" t="s">
        <v>1214</v>
      </c>
      <c r="C24" s="2" t="s">
        <v>299</v>
      </c>
      <c r="D24" s="2" t="s">
        <v>1169</v>
      </c>
      <c r="E24" s="2" t="n">
        <v>0</v>
      </c>
      <c r="F24" s="2" t="n">
        <v>1</v>
      </c>
      <c r="G24" s="2" t="s">
        <v>261</v>
      </c>
    </row>
    <row r="25" customFormat="false" ht="15" hidden="false" customHeight="false" outlineLevel="0" collapsed="false">
      <c r="A25" s="2" t="s">
        <v>1215</v>
      </c>
      <c r="B25" s="2" t="s">
        <v>1216</v>
      </c>
      <c r="C25" s="2" t="s">
        <v>20</v>
      </c>
      <c r="D25" s="2" t="s">
        <v>1169</v>
      </c>
      <c r="E25" s="2" t="n">
        <v>0</v>
      </c>
      <c r="F25" s="2" t="n">
        <v>1</v>
      </c>
      <c r="G25" s="2" t="s">
        <v>261</v>
      </c>
    </row>
    <row r="26" customFormat="false" ht="15" hidden="false" customHeight="false" outlineLevel="0" collapsed="false">
      <c r="A26" s="2" t="s">
        <v>1217</v>
      </c>
      <c r="B26" s="2" t="s">
        <v>1218</v>
      </c>
      <c r="C26" s="2" t="s">
        <v>299</v>
      </c>
      <c r="D26" s="2" t="s">
        <v>1169</v>
      </c>
      <c r="E26" s="2" t="n">
        <v>0</v>
      </c>
      <c r="F26" s="2" t="n">
        <v>1</v>
      </c>
      <c r="G26" s="2" t="s">
        <v>261</v>
      </c>
    </row>
    <row r="27" customFormat="false" ht="15" hidden="false" customHeight="false" outlineLevel="0" collapsed="false">
      <c r="A27" s="2" t="s">
        <v>1219</v>
      </c>
      <c r="B27" s="2" t="s">
        <v>1220</v>
      </c>
      <c r="C27" s="2" t="s">
        <v>299</v>
      </c>
      <c r="D27" s="2" t="s">
        <v>1169</v>
      </c>
      <c r="E27" s="2" t="n">
        <v>0</v>
      </c>
      <c r="F27" s="2" t="n">
        <v>1</v>
      </c>
      <c r="G27" s="2" t="s">
        <v>261</v>
      </c>
    </row>
    <row r="28" customFormat="false" ht="15" hidden="false" customHeight="false" outlineLevel="0" collapsed="false">
      <c r="A28" s="2" t="s">
        <v>1221</v>
      </c>
      <c r="B28" s="2" t="s">
        <v>1222</v>
      </c>
      <c r="C28" s="2" t="s">
        <v>299</v>
      </c>
      <c r="D28" s="2" t="s">
        <v>1169</v>
      </c>
      <c r="E28" s="2" t="n">
        <v>0</v>
      </c>
      <c r="F28" s="2" t="n">
        <v>1</v>
      </c>
      <c r="G28" s="2" t="s">
        <v>261</v>
      </c>
    </row>
    <row r="29" customFormat="false" ht="15" hidden="false" customHeight="false" outlineLevel="0" collapsed="false">
      <c r="A29" s="2" t="s">
        <v>1223</v>
      </c>
      <c r="B29" s="2" t="s">
        <v>1224</v>
      </c>
      <c r="C29" s="2" t="s">
        <v>299</v>
      </c>
      <c r="D29" s="2" t="s">
        <v>1169</v>
      </c>
      <c r="E29" s="2" t="n">
        <v>0</v>
      </c>
      <c r="F29" s="2" t="n">
        <v>1</v>
      </c>
      <c r="G29" s="2" t="s">
        <v>261</v>
      </c>
    </row>
    <row r="30" customFormat="false" ht="15" hidden="false" customHeight="false" outlineLevel="0" collapsed="false">
      <c r="A30" s="2" t="s">
        <v>1225</v>
      </c>
      <c r="B30" s="2" t="s">
        <v>1226</v>
      </c>
      <c r="C30" s="2" t="s">
        <v>299</v>
      </c>
      <c r="D30" s="2" t="s">
        <v>1169</v>
      </c>
      <c r="E30" s="2" t="n">
        <v>0</v>
      </c>
      <c r="F30" s="2" t="n">
        <v>1</v>
      </c>
      <c r="G30" s="2" t="s">
        <v>32</v>
      </c>
    </row>
    <row r="31" customFormat="false" ht="15" hidden="false" customHeight="false" outlineLevel="0" collapsed="false">
      <c r="A31" s="2" t="s">
        <v>1227</v>
      </c>
      <c r="B31" s="2" t="s">
        <v>1228</v>
      </c>
      <c r="C31" s="2" t="s">
        <v>20</v>
      </c>
      <c r="D31" s="2" t="s">
        <v>1169</v>
      </c>
      <c r="E31" s="2" t="n">
        <v>0</v>
      </c>
      <c r="F31" s="2" t="n">
        <v>1</v>
      </c>
      <c r="G31" s="2" t="s">
        <v>261</v>
      </c>
    </row>
    <row r="32" customFormat="false" ht="15" hidden="false" customHeight="false" outlineLevel="0" collapsed="false">
      <c r="A32" s="2" t="s">
        <v>1229</v>
      </c>
      <c r="B32" s="2" t="s">
        <v>575</v>
      </c>
      <c r="C32" s="2" t="s">
        <v>299</v>
      </c>
      <c r="D32" s="2" t="s">
        <v>1206</v>
      </c>
      <c r="E32" s="2" t="n">
        <v>1</v>
      </c>
      <c r="F32" s="2" t="n">
        <v>0</v>
      </c>
      <c r="G32" s="2"/>
    </row>
    <row r="33" customFormat="false" ht="15" hidden="false" customHeight="false" outlineLevel="0" collapsed="false">
      <c r="A33" s="2" t="s">
        <v>1230</v>
      </c>
      <c r="B33" s="2" t="s">
        <v>1231</v>
      </c>
      <c r="C33" s="2" t="s">
        <v>115</v>
      </c>
      <c r="D33" s="2" t="s">
        <v>1206</v>
      </c>
      <c r="E33" s="2" t="n">
        <v>1</v>
      </c>
      <c r="F33" s="2" t="n">
        <v>0</v>
      </c>
      <c r="G33" s="2"/>
    </row>
    <row r="34" customFormat="false" ht="15" hidden="false" customHeight="false" outlineLevel="0" collapsed="false">
      <c r="A34" s="2" t="s">
        <v>1232</v>
      </c>
      <c r="B34" s="2" t="s">
        <v>1233</v>
      </c>
      <c r="C34" s="2" t="s">
        <v>299</v>
      </c>
      <c r="D34" s="2" t="s">
        <v>1169</v>
      </c>
      <c r="E34" s="2" t="n">
        <v>0</v>
      </c>
      <c r="F34" s="2" t="n">
        <v>1</v>
      </c>
      <c r="G34" s="2" t="s">
        <v>261</v>
      </c>
    </row>
    <row r="35" customFormat="false" ht="15" hidden="false" customHeight="false" outlineLevel="0" collapsed="false">
      <c r="A35" s="2" t="s">
        <v>1234</v>
      </c>
      <c r="B35" s="2" t="s">
        <v>1235</v>
      </c>
      <c r="C35" s="2" t="s">
        <v>299</v>
      </c>
      <c r="D35" s="2" t="s">
        <v>1169</v>
      </c>
      <c r="E35" s="2" t="n">
        <v>0</v>
      </c>
      <c r="F35" s="2" t="n">
        <v>1</v>
      </c>
      <c r="G35" s="2" t="s">
        <v>261</v>
      </c>
    </row>
    <row r="36" customFormat="false" ht="15" hidden="false" customHeight="false" outlineLevel="0" collapsed="false">
      <c r="A36" s="2" t="s">
        <v>1236</v>
      </c>
      <c r="B36" s="2" t="s">
        <v>1237</v>
      </c>
      <c r="C36" s="2" t="s">
        <v>299</v>
      </c>
      <c r="D36" s="2" t="s">
        <v>1169</v>
      </c>
      <c r="E36" s="2" t="n">
        <v>0</v>
      </c>
      <c r="F36" s="2" t="n">
        <v>1</v>
      </c>
      <c r="G36" s="2" t="s">
        <v>261</v>
      </c>
    </row>
    <row r="37" customFormat="false" ht="15" hidden="false" customHeight="false" outlineLevel="0" collapsed="false">
      <c r="A37" s="2" t="s">
        <v>1238</v>
      </c>
      <c r="B37" s="2" t="s">
        <v>1239</v>
      </c>
      <c r="C37" s="2" t="s">
        <v>513</v>
      </c>
      <c r="D37" s="2" t="s">
        <v>1169</v>
      </c>
      <c r="E37" s="2" t="n">
        <v>0</v>
      </c>
      <c r="F37" s="2" t="n">
        <v>1</v>
      </c>
      <c r="G37" s="2" t="s">
        <v>32</v>
      </c>
    </row>
    <row r="38" customFormat="false" ht="15" hidden="false" customHeight="false" outlineLevel="0" collapsed="false">
      <c r="A38" s="2" t="s">
        <v>1240</v>
      </c>
      <c r="B38" s="2" t="s">
        <v>1241</v>
      </c>
      <c r="C38" s="2" t="s">
        <v>299</v>
      </c>
      <c r="D38" s="2" t="s">
        <v>1169</v>
      </c>
      <c r="E38" s="2" t="n">
        <v>0</v>
      </c>
      <c r="F38" s="2" t="n">
        <v>1</v>
      </c>
      <c r="G38" s="2" t="s">
        <v>32</v>
      </c>
    </row>
    <row r="39" customFormat="false" ht="15" hidden="false" customHeight="false" outlineLevel="0" collapsed="false">
      <c r="A39" s="2" t="s">
        <v>1242</v>
      </c>
      <c r="B39" s="2" t="s">
        <v>1243</v>
      </c>
      <c r="C39" s="2" t="s">
        <v>299</v>
      </c>
      <c r="D39" s="2" t="s">
        <v>1169</v>
      </c>
      <c r="E39" s="2" t="n">
        <v>0</v>
      </c>
      <c r="F39" s="2" t="n">
        <v>2</v>
      </c>
      <c r="G39" s="2" t="s">
        <v>261</v>
      </c>
    </row>
    <row r="40" customFormat="false" ht="15" hidden="false" customHeight="false" outlineLevel="0" collapsed="false">
      <c r="A40" s="2" t="s">
        <v>1244</v>
      </c>
      <c r="B40" s="2" t="s">
        <v>1245</v>
      </c>
      <c r="C40" s="2" t="s">
        <v>35</v>
      </c>
      <c r="D40" s="2" t="s">
        <v>1169</v>
      </c>
      <c r="E40" s="2" t="n">
        <v>0</v>
      </c>
      <c r="F40" s="2" t="n">
        <v>1</v>
      </c>
      <c r="G40" s="2" t="s">
        <v>32</v>
      </c>
    </row>
    <row r="41" customFormat="false" ht="15" hidden="false" customHeight="false" outlineLevel="0" collapsed="false">
      <c r="A41" s="2" t="s">
        <v>1246</v>
      </c>
      <c r="B41" s="2" t="s">
        <v>1247</v>
      </c>
      <c r="C41" s="2" t="s">
        <v>299</v>
      </c>
      <c r="D41" s="2" t="s">
        <v>1169</v>
      </c>
      <c r="E41" s="2" t="n">
        <v>0</v>
      </c>
      <c r="F41" s="2" t="n">
        <v>1</v>
      </c>
      <c r="G41" s="2" t="s">
        <v>261</v>
      </c>
    </row>
    <row r="42" customFormat="false" ht="15" hidden="false" customHeight="false" outlineLevel="0" collapsed="false">
      <c r="A42" s="2" t="s">
        <v>1248</v>
      </c>
      <c r="B42" s="2" t="s">
        <v>1249</v>
      </c>
      <c r="C42" s="2" t="s">
        <v>299</v>
      </c>
      <c r="D42" s="2" t="s">
        <v>1169</v>
      </c>
      <c r="E42" s="2" t="n">
        <v>0</v>
      </c>
      <c r="F42" s="2" t="n">
        <v>1</v>
      </c>
      <c r="G42" s="2" t="s">
        <v>261</v>
      </c>
    </row>
    <row r="43" customFormat="false" ht="15" hidden="false" customHeight="false" outlineLevel="0" collapsed="false">
      <c r="A43" s="2" t="s">
        <v>1250</v>
      </c>
      <c r="B43" s="2" t="s">
        <v>1251</v>
      </c>
      <c r="C43" s="2" t="s">
        <v>299</v>
      </c>
      <c r="D43" s="2" t="s">
        <v>1169</v>
      </c>
      <c r="E43" s="2" t="n">
        <v>0</v>
      </c>
      <c r="F43" s="2" t="n">
        <v>1</v>
      </c>
      <c r="G43" s="2" t="s">
        <v>261</v>
      </c>
    </row>
    <row r="44" customFormat="false" ht="15" hidden="false" customHeight="false" outlineLevel="0" collapsed="false">
      <c r="A44" s="2" t="s">
        <v>1252</v>
      </c>
      <c r="B44" s="2" t="s">
        <v>1253</v>
      </c>
      <c r="C44" s="2" t="s">
        <v>299</v>
      </c>
      <c r="D44" s="2" t="s">
        <v>1169</v>
      </c>
      <c r="E44" s="2" t="n">
        <v>0</v>
      </c>
      <c r="F44" s="2" t="n">
        <v>2</v>
      </c>
      <c r="G44" s="2" t="s">
        <v>261</v>
      </c>
    </row>
    <row r="45" customFormat="false" ht="15" hidden="false" customHeight="false" outlineLevel="0" collapsed="false">
      <c r="A45" s="2" t="s">
        <v>1254</v>
      </c>
      <c r="B45" s="2" t="s">
        <v>1255</v>
      </c>
      <c r="C45" s="2" t="s">
        <v>299</v>
      </c>
      <c r="D45" s="2" t="s">
        <v>1169</v>
      </c>
      <c r="E45" s="2" t="n">
        <v>0</v>
      </c>
      <c r="F45" s="2" t="n">
        <v>1</v>
      </c>
      <c r="G45" s="2" t="s">
        <v>32</v>
      </c>
    </row>
    <row r="46" customFormat="false" ht="15" hidden="false" customHeight="false" outlineLevel="0" collapsed="false">
      <c r="A46" s="2" t="s">
        <v>1256</v>
      </c>
      <c r="B46" s="2" t="s">
        <v>1257</v>
      </c>
      <c r="C46" s="2" t="s">
        <v>264</v>
      </c>
      <c r="D46" s="2" t="s">
        <v>1206</v>
      </c>
      <c r="E46" s="2" t="n">
        <v>1</v>
      </c>
      <c r="F46" s="2" t="n">
        <v>0</v>
      </c>
      <c r="G46" s="2"/>
    </row>
    <row r="47" customFormat="false" ht="15" hidden="false" customHeight="false" outlineLevel="0" collapsed="false">
      <c r="A47" s="2" t="s">
        <v>1258</v>
      </c>
      <c r="B47" s="2" t="s">
        <v>1259</v>
      </c>
      <c r="C47" s="2" t="s">
        <v>363</v>
      </c>
      <c r="D47" s="2" t="s">
        <v>1169</v>
      </c>
      <c r="E47" s="2" t="n">
        <v>0</v>
      </c>
      <c r="F47" s="2" t="n">
        <v>1</v>
      </c>
      <c r="G47" s="2" t="s">
        <v>32</v>
      </c>
    </row>
    <row r="48" customFormat="false" ht="15" hidden="false" customHeight="false" outlineLevel="0" collapsed="false">
      <c r="A48" s="2" t="s">
        <v>1260</v>
      </c>
      <c r="B48" s="2" t="s">
        <v>1261</v>
      </c>
      <c r="C48" s="2" t="s">
        <v>299</v>
      </c>
      <c r="D48" s="2" t="s">
        <v>1169</v>
      </c>
      <c r="E48" s="2" t="n">
        <v>0</v>
      </c>
      <c r="F48" s="2" t="n">
        <v>1</v>
      </c>
      <c r="G48" s="2" t="s">
        <v>261</v>
      </c>
    </row>
    <row r="49" customFormat="false" ht="15" hidden="false" customHeight="false" outlineLevel="0" collapsed="false">
      <c r="A49" s="2" t="s">
        <v>1262</v>
      </c>
      <c r="B49" s="2" t="s">
        <v>1263</v>
      </c>
      <c r="C49" s="2" t="s">
        <v>20</v>
      </c>
      <c r="D49" s="2" t="s">
        <v>1206</v>
      </c>
      <c r="E49" s="2" t="n">
        <v>2</v>
      </c>
      <c r="F49" s="2" t="n">
        <v>0</v>
      </c>
      <c r="G49" s="2"/>
    </row>
    <row r="50" customFormat="false" ht="15" hidden="false" customHeight="false" outlineLevel="0" collapsed="false">
      <c r="A50" s="2" t="s">
        <v>1264</v>
      </c>
      <c r="B50" s="2" t="s">
        <v>1265</v>
      </c>
      <c r="C50" s="2" t="s">
        <v>20</v>
      </c>
      <c r="D50" s="2" t="s">
        <v>1169</v>
      </c>
      <c r="E50" s="2" t="n">
        <v>0</v>
      </c>
      <c r="F50" s="2" t="n">
        <v>1</v>
      </c>
      <c r="G50" s="2" t="s">
        <v>261</v>
      </c>
    </row>
    <row r="51" customFormat="false" ht="15" hidden="false" customHeight="false" outlineLevel="0" collapsed="false">
      <c r="A51" s="2" t="s">
        <v>1266</v>
      </c>
      <c r="B51" s="2" t="s">
        <v>1267</v>
      </c>
      <c r="C51" s="2" t="s">
        <v>20</v>
      </c>
      <c r="D51" s="2" t="s">
        <v>1169</v>
      </c>
      <c r="E51" s="2" t="n">
        <v>0</v>
      </c>
      <c r="F51" s="2" t="n">
        <v>1</v>
      </c>
      <c r="G51" s="2" t="s">
        <v>261</v>
      </c>
    </row>
    <row r="52" customFormat="false" ht="15" hidden="false" customHeight="false" outlineLevel="0" collapsed="false">
      <c r="A52" s="2" t="s">
        <v>1268</v>
      </c>
      <c r="B52" s="2" t="s">
        <v>1269</v>
      </c>
      <c r="C52" s="2" t="s">
        <v>299</v>
      </c>
      <c r="D52" s="2" t="s">
        <v>1169</v>
      </c>
      <c r="E52" s="2" t="n">
        <v>0</v>
      </c>
      <c r="F52" s="2" t="n">
        <v>1</v>
      </c>
      <c r="G52" s="2" t="s">
        <v>32</v>
      </c>
    </row>
    <row r="53" customFormat="false" ht="15" hidden="false" customHeight="false" outlineLevel="0" collapsed="false">
      <c r="A53" s="2" t="s">
        <v>1270</v>
      </c>
      <c r="B53" s="2" t="s">
        <v>1271</v>
      </c>
      <c r="C53" s="2" t="s">
        <v>299</v>
      </c>
      <c r="D53" s="2" t="s">
        <v>1169</v>
      </c>
      <c r="E53" s="2" t="n">
        <v>0</v>
      </c>
      <c r="F53" s="2" t="n">
        <v>1</v>
      </c>
      <c r="G53" s="2" t="s">
        <v>261</v>
      </c>
    </row>
    <row r="54" customFormat="false" ht="15" hidden="false" customHeight="false" outlineLevel="0" collapsed="false">
      <c r="A54" s="2" t="s">
        <v>1272</v>
      </c>
      <c r="B54" s="2" t="s">
        <v>947</v>
      </c>
      <c r="C54" s="2" t="s">
        <v>35</v>
      </c>
      <c r="D54" s="2" t="s">
        <v>1206</v>
      </c>
      <c r="E54" s="2" t="n">
        <v>1</v>
      </c>
      <c r="F54" s="2" t="n">
        <v>0</v>
      </c>
      <c r="G54" s="2"/>
    </row>
    <row r="55" customFormat="false" ht="15" hidden="false" customHeight="false" outlineLevel="0" collapsed="false">
      <c r="A55" s="2" t="s">
        <v>1273</v>
      </c>
      <c r="B55" s="2" t="s">
        <v>1274</v>
      </c>
      <c r="C55" s="2" t="s">
        <v>20</v>
      </c>
      <c r="D55" s="2" t="s">
        <v>1169</v>
      </c>
      <c r="E55" s="2" t="n">
        <v>0</v>
      </c>
      <c r="F55" s="2" t="n">
        <v>1</v>
      </c>
      <c r="G55" s="2" t="s">
        <v>261</v>
      </c>
    </row>
    <row r="56" customFormat="false" ht="15" hidden="false" customHeight="false" outlineLevel="0" collapsed="false">
      <c r="A56" s="2" t="s">
        <v>1275</v>
      </c>
      <c r="B56" s="2" t="s">
        <v>1276</v>
      </c>
      <c r="C56" s="2" t="s">
        <v>64</v>
      </c>
      <c r="D56" s="2" t="s">
        <v>1206</v>
      </c>
      <c r="E56" s="2" t="n">
        <v>1</v>
      </c>
      <c r="F56" s="2" t="n">
        <v>0</v>
      </c>
      <c r="G56" s="2"/>
    </row>
    <row r="57" customFormat="false" ht="15" hidden="false" customHeight="false" outlineLevel="0" collapsed="false">
      <c r="A57" s="2" t="s">
        <v>1277</v>
      </c>
      <c r="B57" s="2" t="s">
        <v>1278</v>
      </c>
      <c r="C57" s="2" t="s">
        <v>35</v>
      </c>
      <c r="D57" s="2" t="s">
        <v>1206</v>
      </c>
      <c r="E57" s="2" t="n">
        <v>1</v>
      </c>
      <c r="F57" s="2" t="n">
        <v>0</v>
      </c>
      <c r="G57" s="2"/>
    </row>
    <row r="58" customFormat="false" ht="15" hidden="false" customHeight="false" outlineLevel="0" collapsed="false">
      <c r="A58" s="2" t="s">
        <v>1279</v>
      </c>
      <c r="B58" s="2" t="s">
        <v>1280</v>
      </c>
      <c r="C58" s="2" t="s">
        <v>1050</v>
      </c>
      <c r="D58" s="2" t="s">
        <v>1169</v>
      </c>
      <c r="E58" s="2" t="n">
        <v>0</v>
      </c>
      <c r="F58" s="2" t="n">
        <v>1</v>
      </c>
      <c r="G58" s="2" t="s">
        <v>261</v>
      </c>
    </row>
    <row r="59" customFormat="false" ht="15" hidden="false" customHeight="false" outlineLevel="0" collapsed="false">
      <c r="A59" s="2" t="s">
        <v>1281</v>
      </c>
      <c r="B59" s="2" t="s">
        <v>1282</v>
      </c>
      <c r="C59" s="2" t="s">
        <v>1050</v>
      </c>
      <c r="D59" s="2" t="s">
        <v>1169</v>
      </c>
      <c r="E59" s="2" t="n">
        <v>0</v>
      </c>
      <c r="F59" s="2" t="n">
        <v>1</v>
      </c>
      <c r="G59" s="2" t="s">
        <v>261</v>
      </c>
    </row>
    <row r="60" customFormat="false" ht="15" hidden="false" customHeight="false" outlineLevel="0" collapsed="false">
      <c r="A60" s="2" t="s">
        <v>1283</v>
      </c>
      <c r="B60" s="2" t="s">
        <v>1284</v>
      </c>
      <c r="C60" s="2" t="s">
        <v>20</v>
      </c>
      <c r="D60" s="2" t="s">
        <v>1169</v>
      </c>
      <c r="E60" s="2" t="n">
        <v>0</v>
      </c>
      <c r="F60" s="2" t="n">
        <v>1</v>
      </c>
      <c r="G60" s="2" t="s">
        <v>32</v>
      </c>
    </row>
    <row r="61" customFormat="false" ht="15" hidden="false" customHeight="false" outlineLevel="0" collapsed="false">
      <c r="A61" s="2" t="s">
        <v>1285</v>
      </c>
      <c r="B61" s="2" t="s">
        <v>1286</v>
      </c>
      <c r="C61" s="2" t="s">
        <v>299</v>
      </c>
      <c r="D61" s="2" t="s">
        <v>1169</v>
      </c>
      <c r="E61" s="2" t="n">
        <v>0</v>
      </c>
      <c r="F61" s="2" t="n">
        <v>1</v>
      </c>
      <c r="G61" s="2" t="s">
        <v>261</v>
      </c>
    </row>
    <row r="62" customFormat="false" ht="15" hidden="false" customHeight="false" outlineLevel="0" collapsed="false">
      <c r="A62" s="2" t="s">
        <v>1287</v>
      </c>
      <c r="B62" s="2" t="s">
        <v>1288</v>
      </c>
      <c r="C62" s="2" t="s">
        <v>20</v>
      </c>
      <c r="D62" s="2" t="s">
        <v>1169</v>
      </c>
      <c r="E62" s="2" t="n">
        <v>0</v>
      </c>
      <c r="F62" s="2" t="n">
        <v>1</v>
      </c>
      <c r="G62" s="2" t="s">
        <v>261</v>
      </c>
    </row>
    <row r="63" customFormat="false" ht="15" hidden="false" customHeight="false" outlineLevel="0" collapsed="false">
      <c r="A63" s="2" t="s">
        <v>1289</v>
      </c>
      <c r="B63" s="2" t="s">
        <v>1290</v>
      </c>
      <c r="C63" s="2" t="s">
        <v>20</v>
      </c>
      <c r="D63" s="2" t="s">
        <v>1169</v>
      </c>
      <c r="E63" s="2" t="n">
        <v>0</v>
      </c>
      <c r="F63" s="2" t="n">
        <v>1</v>
      </c>
      <c r="G63" s="2" t="s">
        <v>261</v>
      </c>
    </row>
    <row r="64" customFormat="false" ht="15" hidden="false" customHeight="false" outlineLevel="0" collapsed="false">
      <c r="A64" s="2" t="s">
        <v>1291</v>
      </c>
      <c r="B64" s="2" t="s">
        <v>1292</v>
      </c>
      <c r="C64" s="2" t="s">
        <v>20</v>
      </c>
      <c r="D64" s="2" t="s">
        <v>1169</v>
      </c>
      <c r="E64" s="2" t="n">
        <v>0</v>
      </c>
      <c r="F64" s="2" t="n">
        <v>2</v>
      </c>
      <c r="G64" s="2" t="s">
        <v>261</v>
      </c>
    </row>
    <row r="65" customFormat="false" ht="15" hidden="false" customHeight="false" outlineLevel="0" collapsed="false">
      <c r="A65" s="2" t="s">
        <v>1293</v>
      </c>
      <c r="B65" s="2" t="s">
        <v>1294</v>
      </c>
      <c r="C65" s="2" t="s">
        <v>20</v>
      </c>
      <c r="D65" s="2" t="s">
        <v>1169</v>
      </c>
      <c r="E65" s="2" t="n">
        <v>0</v>
      </c>
      <c r="F65" s="2" t="n">
        <v>1</v>
      </c>
      <c r="G65" s="2" t="s">
        <v>261</v>
      </c>
    </row>
    <row r="66" customFormat="false" ht="15" hidden="false" customHeight="false" outlineLevel="0" collapsed="false">
      <c r="A66" s="2" t="s">
        <v>1295</v>
      </c>
      <c r="B66" s="2" t="s">
        <v>1296</v>
      </c>
      <c r="C66" s="2" t="s">
        <v>20</v>
      </c>
      <c r="D66" s="2" t="s">
        <v>1169</v>
      </c>
      <c r="E66" s="2" t="n">
        <v>0</v>
      </c>
      <c r="F66" s="2" t="n">
        <v>1</v>
      </c>
      <c r="G66" s="2" t="s">
        <v>261</v>
      </c>
    </row>
    <row r="67" customFormat="false" ht="15" hidden="false" customHeight="false" outlineLevel="0" collapsed="false">
      <c r="A67" s="2" t="s">
        <v>1297</v>
      </c>
      <c r="B67" s="2" t="s">
        <v>1298</v>
      </c>
      <c r="C67" s="2" t="s">
        <v>115</v>
      </c>
      <c r="D67" s="2" t="s">
        <v>1206</v>
      </c>
      <c r="E67" s="2" t="n">
        <v>1</v>
      </c>
      <c r="F67" s="2" t="n">
        <v>0</v>
      </c>
      <c r="G67" s="2"/>
    </row>
    <row r="68" customFormat="false" ht="15" hidden="false" customHeight="false" outlineLevel="0" collapsed="false">
      <c r="A68" s="2" t="s">
        <v>1299</v>
      </c>
      <c r="B68" s="2" t="s">
        <v>1300</v>
      </c>
      <c r="C68" s="2" t="s">
        <v>1301</v>
      </c>
      <c r="D68" s="2" t="s">
        <v>1169</v>
      </c>
      <c r="E68" s="2" t="n">
        <v>0</v>
      </c>
      <c r="F68" s="2" t="n">
        <v>1</v>
      </c>
      <c r="G68" s="2" t="s">
        <v>32</v>
      </c>
    </row>
    <row r="69" customFormat="false" ht="15" hidden="false" customHeight="false" outlineLevel="0" collapsed="false">
      <c r="A69" s="2" t="s">
        <v>1302</v>
      </c>
      <c r="B69" s="2" t="s">
        <v>1303</v>
      </c>
      <c r="C69" s="2" t="s">
        <v>20</v>
      </c>
      <c r="D69" s="2" t="s">
        <v>1169</v>
      </c>
      <c r="E69" s="2" t="n">
        <v>0</v>
      </c>
      <c r="F69" s="2" t="n">
        <v>1</v>
      </c>
      <c r="G69" s="2" t="s">
        <v>261</v>
      </c>
    </row>
    <row r="70" customFormat="false" ht="15" hidden="false" customHeight="false" outlineLevel="0" collapsed="false">
      <c r="A70" s="2" t="s">
        <v>1304</v>
      </c>
      <c r="B70" s="2" t="s">
        <v>1305</v>
      </c>
      <c r="C70" s="2" t="s">
        <v>20</v>
      </c>
      <c r="D70" s="2" t="s">
        <v>1169</v>
      </c>
      <c r="E70" s="2" t="n">
        <v>0</v>
      </c>
      <c r="F70" s="2" t="n">
        <v>1</v>
      </c>
      <c r="G70" s="2" t="s">
        <v>261</v>
      </c>
    </row>
    <row r="71" customFormat="false" ht="15" hidden="false" customHeight="false" outlineLevel="0" collapsed="false">
      <c r="A71" s="2" t="s">
        <v>1306</v>
      </c>
      <c r="B71" s="2" t="s">
        <v>1307</v>
      </c>
      <c r="C71" s="2" t="s">
        <v>35</v>
      </c>
      <c r="D71" s="2" t="s">
        <v>1206</v>
      </c>
      <c r="E71" s="2" t="n">
        <v>1</v>
      </c>
      <c r="F71" s="2" t="n">
        <v>0</v>
      </c>
      <c r="G71" s="2"/>
    </row>
    <row r="72" customFormat="false" ht="15" hidden="false" customHeight="false" outlineLevel="0" collapsed="false">
      <c r="A72" s="2" t="s">
        <v>1308</v>
      </c>
      <c r="B72" s="2" t="s">
        <v>1309</v>
      </c>
      <c r="C72" s="2" t="s">
        <v>299</v>
      </c>
      <c r="D72" s="2" t="s">
        <v>1169</v>
      </c>
      <c r="E72" s="2" t="n">
        <v>0</v>
      </c>
      <c r="F72" s="2" t="n">
        <v>1</v>
      </c>
      <c r="G72" s="2" t="s">
        <v>261</v>
      </c>
    </row>
    <row r="73" customFormat="false" ht="15" hidden="false" customHeight="false" outlineLevel="0" collapsed="false">
      <c r="A73" s="2" t="s">
        <v>1310</v>
      </c>
      <c r="B73" s="2" t="s">
        <v>1311</v>
      </c>
      <c r="C73" s="2" t="s">
        <v>90</v>
      </c>
      <c r="D73" s="2" t="s">
        <v>1169</v>
      </c>
      <c r="E73" s="2" t="n">
        <v>0</v>
      </c>
      <c r="F73" s="2" t="n">
        <v>1</v>
      </c>
      <c r="G73" s="2" t="s">
        <v>32</v>
      </c>
    </row>
    <row r="74" customFormat="false" ht="15" hidden="false" customHeight="false" outlineLevel="0" collapsed="false">
      <c r="A74" s="2" t="s">
        <v>1312</v>
      </c>
      <c r="B74" s="2" t="s">
        <v>1313</v>
      </c>
      <c r="C74" s="2" t="s">
        <v>942</v>
      </c>
      <c r="D74" s="2" t="s">
        <v>1206</v>
      </c>
      <c r="E74" s="2" t="n">
        <v>1</v>
      </c>
      <c r="F74" s="2" t="n">
        <v>0</v>
      </c>
      <c r="G74" s="2"/>
    </row>
    <row r="75" customFormat="false" ht="15" hidden="false" customHeight="false" outlineLevel="0" collapsed="false">
      <c r="A75" s="2" t="s">
        <v>1314</v>
      </c>
      <c r="B75" s="2" t="s">
        <v>1315</v>
      </c>
      <c r="C75" s="2" t="s">
        <v>299</v>
      </c>
      <c r="D75" s="2" t="s">
        <v>1169</v>
      </c>
      <c r="E75" s="2" t="n">
        <v>0</v>
      </c>
      <c r="F75" s="2" t="n">
        <v>1</v>
      </c>
      <c r="G75" s="2" t="s">
        <v>261</v>
      </c>
    </row>
    <row r="76" customFormat="false" ht="15" hidden="false" customHeight="false" outlineLevel="0" collapsed="false">
      <c r="A76" s="2" t="s">
        <v>1316</v>
      </c>
      <c r="B76" s="2" t="s">
        <v>1317</v>
      </c>
      <c r="C76" s="2" t="s">
        <v>1318</v>
      </c>
      <c r="D76" s="2" t="s">
        <v>1206</v>
      </c>
      <c r="E76" s="2" t="n">
        <v>1</v>
      </c>
      <c r="F76" s="2" t="n">
        <v>0</v>
      </c>
      <c r="G76" s="2"/>
    </row>
    <row r="77" customFormat="false" ht="15" hidden="false" customHeight="false" outlineLevel="0" collapsed="false">
      <c r="A77" s="2" t="s">
        <v>1319</v>
      </c>
      <c r="B77" s="2" t="s">
        <v>1320</v>
      </c>
      <c r="C77" s="2" t="s">
        <v>35</v>
      </c>
      <c r="D77" s="2" t="s">
        <v>1206</v>
      </c>
      <c r="E77" s="2" t="n">
        <v>1</v>
      </c>
      <c r="F77" s="2" t="n">
        <v>0</v>
      </c>
      <c r="G77" s="2"/>
    </row>
    <row r="78" customFormat="false" ht="15" hidden="false" customHeight="false" outlineLevel="0" collapsed="false">
      <c r="A78" s="2" t="s">
        <v>1321</v>
      </c>
      <c r="B78" s="2" t="s">
        <v>1322</v>
      </c>
      <c r="C78" s="2" t="s">
        <v>115</v>
      </c>
      <c r="D78" s="2" t="s">
        <v>1206</v>
      </c>
      <c r="E78" s="2" t="n">
        <v>1</v>
      </c>
      <c r="F78" s="2" t="n">
        <v>0</v>
      </c>
      <c r="G78" s="2"/>
    </row>
    <row r="79" customFormat="false" ht="15" hidden="false" customHeight="false" outlineLevel="0" collapsed="false">
      <c r="A79" s="2" t="s">
        <v>1323</v>
      </c>
      <c r="B79" s="2" t="s">
        <v>1324</v>
      </c>
      <c r="C79" s="2" t="s">
        <v>52</v>
      </c>
      <c r="D79" s="2" t="s">
        <v>1206</v>
      </c>
      <c r="E79" s="2" t="n">
        <v>1</v>
      </c>
      <c r="F79" s="2" t="n">
        <v>0</v>
      </c>
      <c r="G79" s="2"/>
    </row>
    <row r="80" customFormat="false" ht="15" hidden="false" customHeight="false" outlineLevel="0" collapsed="false">
      <c r="A80" s="2" t="s">
        <v>1325</v>
      </c>
      <c r="B80" s="2" t="s">
        <v>1326</v>
      </c>
      <c r="C80" s="2" t="s">
        <v>513</v>
      </c>
      <c r="D80" s="2" t="s">
        <v>1206</v>
      </c>
      <c r="E80" s="2" t="n">
        <v>1</v>
      </c>
      <c r="F80" s="2" t="n">
        <v>0</v>
      </c>
      <c r="G80" s="2"/>
    </row>
    <row r="81" customFormat="false" ht="15" hidden="false" customHeight="false" outlineLevel="0" collapsed="false">
      <c r="A81" s="2" t="s">
        <v>1327</v>
      </c>
      <c r="B81" s="2" t="s">
        <v>746</v>
      </c>
      <c r="C81" s="2" t="s">
        <v>52</v>
      </c>
      <c r="D81" s="2" t="s">
        <v>1206</v>
      </c>
      <c r="E81" s="2" t="n">
        <v>2</v>
      </c>
      <c r="F81" s="2" t="n">
        <v>0</v>
      </c>
      <c r="G81" s="2"/>
    </row>
    <row r="82" customFormat="false" ht="15" hidden="false" customHeight="false" outlineLevel="0" collapsed="false">
      <c r="A82" s="2" t="s">
        <v>1328</v>
      </c>
      <c r="B82" s="2" t="s">
        <v>935</v>
      </c>
      <c r="C82" s="2" t="s">
        <v>52</v>
      </c>
      <c r="D82" s="2" t="s">
        <v>1206</v>
      </c>
      <c r="E82" s="2" t="n">
        <v>1</v>
      </c>
      <c r="F82" s="2" t="n">
        <v>0</v>
      </c>
      <c r="G82" s="2"/>
    </row>
    <row r="83" customFormat="false" ht="15" hidden="false" customHeight="false" outlineLevel="0" collapsed="false">
      <c r="A83" s="2" t="s">
        <v>1329</v>
      </c>
      <c r="B83" s="2" t="s">
        <v>1330</v>
      </c>
      <c r="C83" s="2" t="s">
        <v>513</v>
      </c>
      <c r="D83" s="2" t="s">
        <v>1169</v>
      </c>
      <c r="E83" s="2" t="n">
        <v>0</v>
      </c>
      <c r="F83" s="2" t="n">
        <v>1</v>
      </c>
      <c r="G83" s="2" t="s">
        <v>32</v>
      </c>
    </row>
    <row r="84" customFormat="false" ht="15" hidden="false" customHeight="false" outlineLevel="0" collapsed="false">
      <c r="A84" s="2" t="s">
        <v>1331</v>
      </c>
      <c r="B84" s="2" t="s">
        <v>1332</v>
      </c>
      <c r="C84" s="2" t="s">
        <v>1333</v>
      </c>
      <c r="D84" s="2" t="s">
        <v>1169</v>
      </c>
      <c r="E84" s="2" t="n">
        <v>0</v>
      </c>
      <c r="F84" s="2" t="n">
        <v>1</v>
      </c>
      <c r="G84" s="2" t="s">
        <v>32</v>
      </c>
    </row>
    <row r="85" customFormat="false" ht="15" hidden="false" customHeight="false" outlineLevel="0" collapsed="false">
      <c r="A85" s="2" t="s">
        <v>1334</v>
      </c>
      <c r="B85" s="2" t="s">
        <v>1335</v>
      </c>
      <c r="C85" s="2" t="s">
        <v>513</v>
      </c>
      <c r="D85" s="2" t="s">
        <v>1206</v>
      </c>
      <c r="E85" s="2" t="n">
        <v>1</v>
      </c>
      <c r="F85" s="2" t="n">
        <v>0</v>
      </c>
      <c r="G85" s="2"/>
    </row>
    <row r="86" customFormat="false" ht="15" hidden="false" customHeight="false" outlineLevel="0" collapsed="false">
      <c r="A86" s="2" t="s">
        <v>1336</v>
      </c>
      <c r="B86" s="2" t="s">
        <v>987</v>
      </c>
      <c r="C86" s="2" t="s">
        <v>513</v>
      </c>
      <c r="D86" s="2" t="s">
        <v>1206</v>
      </c>
      <c r="E86" s="2" t="n">
        <v>1</v>
      </c>
      <c r="F86" s="2" t="n">
        <v>0</v>
      </c>
      <c r="G86" s="2"/>
    </row>
    <row r="87" customFormat="false" ht="15" hidden="false" customHeight="false" outlineLevel="0" collapsed="false">
      <c r="A87" s="2" t="s">
        <v>1337</v>
      </c>
      <c r="B87" s="2" t="s">
        <v>1338</v>
      </c>
      <c r="C87" s="2" t="s">
        <v>513</v>
      </c>
      <c r="D87" s="2" t="s">
        <v>1206</v>
      </c>
      <c r="E87" s="2" t="n">
        <v>1</v>
      </c>
      <c r="F87" s="2" t="n">
        <v>0</v>
      </c>
      <c r="G87" s="2"/>
    </row>
    <row r="88" customFormat="false" ht="15" hidden="false" customHeight="false" outlineLevel="0" collapsed="false">
      <c r="A88" s="2" t="s">
        <v>1339</v>
      </c>
      <c r="B88" s="2" t="s">
        <v>1340</v>
      </c>
      <c r="C88" s="2" t="s">
        <v>513</v>
      </c>
      <c r="D88" s="2" t="s">
        <v>1169</v>
      </c>
      <c r="E88" s="2" t="n">
        <v>0</v>
      </c>
      <c r="F88" s="2" t="n">
        <v>1</v>
      </c>
      <c r="G88" s="2" t="s">
        <v>32</v>
      </c>
    </row>
    <row r="89" customFormat="false" ht="15" hidden="false" customHeight="false" outlineLevel="0" collapsed="false">
      <c r="A89" s="2" t="s">
        <v>1341</v>
      </c>
      <c r="B89" s="2" t="s">
        <v>1342</v>
      </c>
      <c r="C89" s="2" t="s">
        <v>1301</v>
      </c>
      <c r="D89" s="2" t="s">
        <v>1169</v>
      </c>
      <c r="E89" s="2" t="n">
        <v>0</v>
      </c>
      <c r="F89" s="2" t="n">
        <v>1</v>
      </c>
      <c r="G89" s="2" t="s">
        <v>32</v>
      </c>
    </row>
    <row r="90" customFormat="false" ht="15" hidden="false" customHeight="false" outlineLevel="0" collapsed="false">
      <c r="A90" s="2" t="s">
        <v>1343</v>
      </c>
      <c r="B90" s="2" t="s">
        <v>1344</v>
      </c>
      <c r="C90" s="2" t="s">
        <v>513</v>
      </c>
      <c r="D90" s="2" t="s">
        <v>1169</v>
      </c>
      <c r="E90" s="2" t="n">
        <v>0</v>
      </c>
      <c r="F90" s="2" t="n">
        <v>1</v>
      </c>
      <c r="G90" s="2" t="s">
        <v>32</v>
      </c>
    </row>
    <row r="91" customFormat="false" ht="15" hidden="false" customHeight="false" outlineLevel="0" collapsed="false">
      <c r="A91" s="2" t="s">
        <v>1345</v>
      </c>
      <c r="B91" s="2" t="s">
        <v>596</v>
      </c>
      <c r="C91" s="2" t="s">
        <v>52</v>
      </c>
      <c r="D91" s="2" t="s">
        <v>1206</v>
      </c>
      <c r="E91" s="2" t="n">
        <v>1</v>
      </c>
      <c r="F91" s="2" t="n">
        <v>0</v>
      </c>
      <c r="G91" s="2"/>
    </row>
    <row r="92" customFormat="false" ht="15" hidden="false" customHeight="false" outlineLevel="0" collapsed="false">
      <c r="A92" s="2" t="s">
        <v>1346</v>
      </c>
      <c r="B92" s="2" t="s">
        <v>1347</v>
      </c>
      <c r="C92" s="2" t="s">
        <v>299</v>
      </c>
      <c r="D92" s="2" t="s">
        <v>1169</v>
      </c>
      <c r="E92" s="2" t="n">
        <v>0</v>
      </c>
      <c r="F92" s="2" t="n">
        <v>1</v>
      </c>
      <c r="G92" s="2" t="s">
        <v>261</v>
      </c>
    </row>
    <row r="93" customFormat="false" ht="15" hidden="false" customHeight="false" outlineLevel="0" collapsed="false">
      <c r="A93" s="2" t="s">
        <v>1348</v>
      </c>
      <c r="B93" s="2" t="s">
        <v>1349</v>
      </c>
      <c r="C93" s="2" t="s">
        <v>20</v>
      </c>
      <c r="D93" s="2" t="s">
        <v>1169</v>
      </c>
      <c r="E93" s="2" t="n">
        <v>0</v>
      </c>
      <c r="F93" s="2" t="n">
        <v>1</v>
      </c>
      <c r="G93" s="2" t="s">
        <v>32</v>
      </c>
    </row>
    <row r="94" customFormat="false" ht="15" hidden="false" customHeight="false" outlineLevel="0" collapsed="false">
      <c r="A94" s="2" t="s">
        <v>1350</v>
      </c>
      <c r="B94" s="2" t="s">
        <v>1351</v>
      </c>
      <c r="C94" s="2" t="s">
        <v>64</v>
      </c>
      <c r="D94" s="2" t="s">
        <v>1169</v>
      </c>
      <c r="E94" s="2" t="n">
        <v>0</v>
      </c>
      <c r="F94" s="2" t="n">
        <v>1</v>
      </c>
      <c r="G94" s="2" t="s">
        <v>32</v>
      </c>
    </row>
    <row r="95" customFormat="false" ht="15" hidden="false" customHeight="false" outlineLevel="0" collapsed="false">
      <c r="A95" s="2" t="s">
        <v>1352</v>
      </c>
      <c r="B95" s="2" t="s">
        <v>1353</v>
      </c>
      <c r="C95" s="2" t="s">
        <v>115</v>
      </c>
      <c r="D95" s="2" t="s">
        <v>1206</v>
      </c>
      <c r="E95" s="2" t="n">
        <v>1</v>
      </c>
      <c r="F95" s="2" t="n">
        <v>0</v>
      </c>
      <c r="G95" s="2"/>
    </row>
    <row r="96" customFormat="false" ht="15" hidden="false" customHeight="false" outlineLevel="0" collapsed="false">
      <c r="A96" s="2" t="s">
        <v>1354</v>
      </c>
      <c r="B96" s="2" t="s">
        <v>1355</v>
      </c>
      <c r="C96" s="2" t="s">
        <v>20</v>
      </c>
      <c r="D96" s="2" t="s">
        <v>1169</v>
      </c>
      <c r="E96" s="2" t="n">
        <v>0</v>
      </c>
      <c r="F96" s="2" t="n">
        <v>1</v>
      </c>
      <c r="G96" s="2" t="s">
        <v>261</v>
      </c>
    </row>
    <row r="97" customFormat="false" ht="15" hidden="false" customHeight="false" outlineLevel="0" collapsed="false">
      <c r="A97" s="2" t="s">
        <v>1356</v>
      </c>
      <c r="B97" s="2" t="s">
        <v>1357</v>
      </c>
      <c r="C97" s="2" t="s">
        <v>35</v>
      </c>
      <c r="D97" s="2" t="s">
        <v>1169</v>
      </c>
      <c r="E97" s="2" t="n">
        <v>0</v>
      </c>
      <c r="F97" s="2" t="n">
        <v>1</v>
      </c>
      <c r="G97" s="2" t="s">
        <v>32</v>
      </c>
    </row>
    <row r="98" customFormat="false" ht="15" hidden="false" customHeight="false" outlineLevel="0" collapsed="false">
      <c r="A98" s="2" t="s">
        <v>1358</v>
      </c>
      <c r="B98" s="2" t="s">
        <v>1359</v>
      </c>
      <c r="C98" s="2" t="s">
        <v>35</v>
      </c>
      <c r="D98" s="2" t="s">
        <v>1169</v>
      </c>
      <c r="E98" s="2" t="n">
        <v>0</v>
      </c>
      <c r="F98" s="2" t="n">
        <v>1</v>
      </c>
      <c r="G98" s="2" t="s">
        <v>261</v>
      </c>
    </row>
    <row r="99" customFormat="false" ht="15" hidden="false" customHeight="false" outlineLevel="0" collapsed="false">
      <c r="A99" s="2" t="s">
        <v>1360</v>
      </c>
      <c r="B99" s="2" t="s">
        <v>1361</v>
      </c>
      <c r="C99" s="2" t="s">
        <v>20</v>
      </c>
      <c r="D99" s="2" t="s">
        <v>1169</v>
      </c>
      <c r="E99" s="2" t="n">
        <v>0</v>
      </c>
      <c r="F99" s="2" t="n">
        <v>1</v>
      </c>
      <c r="G99" s="2" t="s">
        <v>261</v>
      </c>
    </row>
    <row r="100" customFormat="false" ht="15" hidden="false" customHeight="false" outlineLevel="0" collapsed="false">
      <c r="A100" s="2" t="s">
        <v>1362</v>
      </c>
      <c r="B100" s="2" t="s">
        <v>1363</v>
      </c>
      <c r="C100" s="2" t="s">
        <v>299</v>
      </c>
      <c r="D100" s="2" t="s">
        <v>1169</v>
      </c>
      <c r="E100" s="2" t="n">
        <v>0</v>
      </c>
      <c r="F100" s="2" t="n">
        <v>1</v>
      </c>
      <c r="G100" s="2" t="s">
        <v>261</v>
      </c>
    </row>
    <row r="101" customFormat="false" ht="15" hidden="false" customHeight="false" outlineLevel="0" collapsed="false">
      <c r="A101" s="2" t="s">
        <v>1364</v>
      </c>
      <c r="B101" s="2" t="s">
        <v>1365</v>
      </c>
      <c r="C101" s="2" t="s">
        <v>427</v>
      </c>
      <c r="D101" s="2" t="s">
        <v>1169</v>
      </c>
      <c r="E101" s="2" t="n">
        <v>0</v>
      </c>
      <c r="F101" s="2" t="n">
        <v>1</v>
      </c>
      <c r="G101" s="2" t="s">
        <v>32</v>
      </c>
    </row>
    <row r="102" customFormat="false" ht="15" hidden="false" customHeight="false" outlineLevel="0" collapsed="false">
      <c r="A102" s="2" t="s">
        <v>1366</v>
      </c>
      <c r="B102" s="2" t="s">
        <v>884</v>
      </c>
      <c r="C102" s="2" t="s">
        <v>446</v>
      </c>
      <c r="D102" s="2" t="s">
        <v>1206</v>
      </c>
      <c r="E102" s="2" t="n">
        <v>1</v>
      </c>
      <c r="F102" s="2" t="n">
        <v>0</v>
      </c>
      <c r="G102" s="2"/>
    </row>
    <row r="103" customFormat="false" ht="15" hidden="false" customHeight="false" outlineLevel="0" collapsed="false">
      <c r="A103" s="2" t="s">
        <v>1367</v>
      </c>
      <c r="B103" s="2" t="s">
        <v>1368</v>
      </c>
      <c r="C103" s="2" t="s">
        <v>35</v>
      </c>
      <c r="D103" s="2" t="s">
        <v>1169</v>
      </c>
      <c r="E103" s="2" t="n">
        <v>0</v>
      </c>
      <c r="F103" s="2" t="n">
        <v>1</v>
      </c>
      <c r="G103" s="2" t="s">
        <v>32</v>
      </c>
    </row>
    <row r="104" customFormat="false" ht="15" hidden="false" customHeight="false" outlineLevel="0" collapsed="false">
      <c r="A104" s="2" t="s">
        <v>1369</v>
      </c>
      <c r="B104" s="2" t="s">
        <v>1370</v>
      </c>
      <c r="C104" s="2" t="s">
        <v>531</v>
      </c>
      <c r="D104" s="2" t="s">
        <v>1206</v>
      </c>
      <c r="E104" s="2" t="n">
        <v>1</v>
      </c>
      <c r="F104" s="2" t="n">
        <v>0</v>
      </c>
      <c r="G104" s="2"/>
    </row>
    <row r="105" customFormat="false" ht="15" hidden="false" customHeight="false" outlineLevel="0" collapsed="false">
      <c r="A105" s="2" t="s">
        <v>1371</v>
      </c>
      <c r="B105" s="2" t="s">
        <v>1372</v>
      </c>
      <c r="C105" s="2" t="s">
        <v>20</v>
      </c>
      <c r="D105" s="2" t="s">
        <v>1169</v>
      </c>
      <c r="E105" s="2" t="n">
        <v>0</v>
      </c>
      <c r="F105" s="2" t="n">
        <v>1</v>
      </c>
      <c r="G105" s="2" t="s">
        <v>261</v>
      </c>
    </row>
    <row r="106" customFormat="false" ht="15" hidden="false" customHeight="false" outlineLevel="0" collapsed="false">
      <c r="A106" s="2" t="s">
        <v>1373</v>
      </c>
      <c r="B106" s="2" t="s">
        <v>1374</v>
      </c>
      <c r="C106" s="2" t="s">
        <v>20</v>
      </c>
      <c r="D106" s="2" t="s">
        <v>1169</v>
      </c>
      <c r="E106" s="2" t="n">
        <v>0</v>
      </c>
      <c r="F106" s="2" t="n">
        <v>1</v>
      </c>
      <c r="G106" s="2" t="s">
        <v>261</v>
      </c>
    </row>
    <row r="107" customFormat="false" ht="15" hidden="false" customHeight="false" outlineLevel="0" collapsed="false">
      <c r="A107" s="2" t="s">
        <v>1375</v>
      </c>
      <c r="B107" s="2" t="s">
        <v>1376</v>
      </c>
      <c r="C107" s="2" t="s">
        <v>299</v>
      </c>
      <c r="D107" s="2" t="s">
        <v>1169</v>
      </c>
      <c r="E107" s="2" t="n">
        <v>0</v>
      </c>
      <c r="F107" s="2" t="n">
        <v>1</v>
      </c>
      <c r="G107" s="2" t="s">
        <v>261</v>
      </c>
    </row>
    <row r="108" customFormat="false" ht="15" hidden="false" customHeight="false" outlineLevel="0" collapsed="false">
      <c r="A108" s="2" t="s">
        <v>1377</v>
      </c>
      <c r="B108" s="2" t="s">
        <v>1378</v>
      </c>
      <c r="C108" s="2" t="s">
        <v>299</v>
      </c>
      <c r="D108" s="2" t="s">
        <v>1169</v>
      </c>
      <c r="E108" s="2" t="n">
        <v>0</v>
      </c>
      <c r="F108" s="2" t="n">
        <v>1</v>
      </c>
      <c r="G108" s="2" t="s">
        <v>261</v>
      </c>
    </row>
    <row r="109" customFormat="false" ht="15" hidden="false" customHeight="false" outlineLevel="0" collapsed="false">
      <c r="A109" s="2" t="s">
        <v>1379</v>
      </c>
      <c r="B109" s="2" t="s">
        <v>1380</v>
      </c>
      <c r="C109" s="2" t="s">
        <v>427</v>
      </c>
      <c r="D109" s="2" t="s">
        <v>1169</v>
      </c>
      <c r="E109" s="2" t="n">
        <v>0</v>
      </c>
      <c r="F109" s="2" t="n">
        <v>1</v>
      </c>
      <c r="G109" s="2" t="s">
        <v>32</v>
      </c>
    </row>
    <row r="110" customFormat="false" ht="15" hidden="false" customHeight="false" outlineLevel="0" collapsed="false">
      <c r="A110" s="2" t="s">
        <v>1381</v>
      </c>
      <c r="B110" s="2" t="s">
        <v>1382</v>
      </c>
      <c r="C110" s="2" t="s">
        <v>20</v>
      </c>
      <c r="D110" s="2" t="s">
        <v>1169</v>
      </c>
      <c r="E110" s="2" t="n">
        <v>0</v>
      </c>
      <c r="F110" s="2" t="n">
        <v>1</v>
      </c>
      <c r="G110" s="2" t="s">
        <v>261</v>
      </c>
    </row>
    <row r="111" customFormat="false" ht="15" hidden="false" customHeight="false" outlineLevel="0" collapsed="false">
      <c r="A111" s="2" t="s">
        <v>1383</v>
      </c>
      <c r="B111" s="2" t="s">
        <v>1384</v>
      </c>
      <c r="C111" s="2" t="s">
        <v>299</v>
      </c>
      <c r="D111" s="2" t="s">
        <v>1169</v>
      </c>
      <c r="E111" s="2" t="n">
        <v>0</v>
      </c>
      <c r="F111" s="2" t="n">
        <v>1</v>
      </c>
      <c r="G111" s="2" t="s">
        <v>261</v>
      </c>
    </row>
    <row r="112" customFormat="false" ht="15" hidden="false" customHeight="false" outlineLevel="0" collapsed="false">
      <c r="A112" s="2" t="s">
        <v>1385</v>
      </c>
      <c r="B112" s="2" t="s">
        <v>1386</v>
      </c>
      <c r="C112" s="2" t="s">
        <v>20</v>
      </c>
      <c r="D112" s="2" t="s">
        <v>1169</v>
      </c>
      <c r="E112" s="2" t="n">
        <v>0</v>
      </c>
      <c r="F112" s="2" t="n">
        <v>1</v>
      </c>
      <c r="G112" s="2" t="s">
        <v>261</v>
      </c>
    </row>
    <row r="113" customFormat="false" ht="15" hidden="false" customHeight="false" outlineLevel="0" collapsed="false">
      <c r="A113" s="2" t="s">
        <v>1387</v>
      </c>
      <c r="B113" s="2" t="s">
        <v>1388</v>
      </c>
      <c r="C113" s="2" t="s">
        <v>299</v>
      </c>
      <c r="D113" s="2" t="s">
        <v>1169</v>
      </c>
      <c r="E113" s="2" t="n">
        <v>0</v>
      </c>
      <c r="F113" s="2" t="n">
        <v>1</v>
      </c>
      <c r="G113" s="2" t="s">
        <v>261</v>
      </c>
    </row>
    <row r="114" customFormat="false" ht="15" hidden="false" customHeight="false" outlineLevel="0" collapsed="false">
      <c r="A114" s="2" t="s">
        <v>1389</v>
      </c>
      <c r="B114" s="2" t="s">
        <v>1390</v>
      </c>
      <c r="C114" s="2" t="s">
        <v>299</v>
      </c>
      <c r="D114" s="2" t="s">
        <v>1169</v>
      </c>
      <c r="E114" s="2" t="n">
        <v>0</v>
      </c>
      <c r="F114" s="2" t="n">
        <v>1</v>
      </c>
      <c r="G114" s="2" t="s">
        <v>261</v>
      </c>
    </row>
    <row r="115" customFormat="false" ht="15" hidden="false" customHeight="false" outlineLevel="0" collapsed="false">
      <c r="A115" s="2" t="s">
        <v>1391</v>
      </c>
      <c r="B115" s="2" t="s">
        <v>1392</v>
      </c>
      <c r="C115" s="2" t="s">
        <v>64</v>
      </c>
      <c r="D115" s="2" t="s">
        <v>1169</v>
      </c>
      <c r="E115" s="2" t="n">
        <v>0</v>
      </c>
      <c r="F115" s="2" t="n">
        <v>1</v>
      </c>
      <c r="G115" s="2" t="s">
        <v>32</v>
      </c>
    </row>
    <row r="116" customFormat="false" ht="15" hidden="false" customHeight="false" outlineLevel="0" collapsed="false">
      <c r="A116" s="2" t="s">
        <v>1393</v>
      </c>
      <c r="B116" s="2" t="s">
        <v>1394</v>
      </c>
      <c r="C116" s="2" t="s">
        <v>355</v>
      </c>
      <c r="D116" s="2" t="s">
        <v>1206</v>
      </c>
      <c r="E116" s="2" t="n">
        <v>1</v>
      </c>
      <c r="F116" s="2" t="n">
        <v>0</v>
      </c>
      <c r="G116" s="2"/>
    </row>
    <row r="117" customFormat="false" ht="15" hidden="false" customHeight="false" outlineLevel="0" collapsed="false">
      <c r="A117" s="2" t="s">
        <v>1395</v>
      </c>
      <c r="B117" s="2" t="s">
        <v>1396</v>
      </c>
      <c r="C117" s="2" t="s">
        <v>115</v>
      </c>
      <c r="D117" s="2" t="s">
        <v>1206</v>
      </c>
      <c r="E117" s="2" t="n">
        <v>1</v>
      </c>
      <c r="F117" s="2" t="n">
        <v>0</v>
      </c>
      <c r="G117" s="2"/>
    </row>
    <row r="118" customFormat="false" ht="15" hidden="false" customHeight="false" outlineLevel="0" collapsed="false">
      <c r="A118" s="2" t="s">
        <v>1397</v>
      </c>
      <c r="B118" s="2" t="s">
        <v>1398</v>
      </c>
      <c r="C118" s="2" t="s">
        <v>299</v>
      </c>
      <c r="D118" s="2" t="s">
        <v>1169</v>
      </c>
      <c r="E118" s="2" t="n">
        <v>0</v>
      </c>
      <c r="F118" s="2" t="n">
        <v>1</v>
      </c>
      <c r="G118" s="2" t="s">
        <v>261</v>
      </c>
    </row>
    <row r="119" customFormat="false" ht="15" hidden="false" customHeight="false" outlineLevel="0" collapsed="false">
      <c r="A119" s="2" t="s">
        <v>1399</v>
      </c>
      <c r="B119" s="2" t="s">
        <v>1400</v>
      </c>
      <c r="C119" s="2" t="s">
        <v>299</v>
      </c>
      <c r="D119" s="2" t="s">
        <v>1169</v>
      </c>
      <c r="E119" s="2" t="n">
        <v>0</v>
      </c>
      <c r="F119" s="2" t="n">
        <v>1</v>
      </c>
      <c r="G119" s="2" t="s">
        <v>261</v>
      </c>
    </row>
    <row r="120" customFormat="false" ht="15" hidden="false" customHeight="false" outlineLevel="0" collapsed="false">
      <c r="A120" s="2" t="s">
        <v>1401</v>
      </c>
      <c r="B120" s="2" t="s">
        <v>1402</v>
      </c>
      <c r="C120" s="2" t="s">
        <v>1403</v>
      </c>
      <c r="D120" s="2" t="s">
        <v>1169</v>
      </c>
      <c r="E120" s="2" t="n">
        <v>0</v>
      </c>
      <c r="F120" s="2" t="n">
        <v>1</v>
      </c>
      <c r="G120" s="2" t="s">
        <v>32</v>
      </c>
    </row>
    <row r="121" customFormat="false" ht="15" hidden="false" customHeight="false" outlineLevel="0" collapsed="false">
      <c r="A121" s="2" t="s">
        <v>1404</v>
      </c>
      <c r="B121" s="2" t="s">
        <v>1405</v>
      </c>
      <c r="C121" s="2" t="s">
        <v>90</v>
      </c>
      <c r="D121" s="2" t="s">
        <v>1169</v>
      </c>
      <c r="E121" s="2" t="n">
        <v>0</v>
      </c>
      <c r="F121" s="2" t="n">
        <v>1</v>
      </c>
      <c r="G121" s="2" t="s">
        <v>32</v>
      </c>
    </row>
    <row r="122" customFormat="false" ht="15" hidden="false" customHeight="false" outlineLevel="0" collapsed="false">
      <c r="A122" s="2" t="s">
        <v>1406</v>
      </c>
      <c r="B122" s="2" t="s">
        <v>1407</v>
      </c>
      <c r="C122" s="2" t="s">
        <v>1408</v>
      </c>
      <c r="D122" s="2" t="s">
        <v>1169</v>
      </c>
      <c r="E122" s="2" t="n">
        <v>0</v>
      </c>
      <c r="F122" s="2" t="n">
        <v>1</v>
      </c>
      <c r="G122" s="2" t="s">
        <v>32</v>
      </c>
    </row>
    <row r="123" customFormat="false" ht="15" hidden="false" customHeight="false" outlineLevel="0" collapsed="false">
      <c r="A123" s="2" t="s">
        <v>1409</v>
      </c>
      <c r="B123" s="2" t="s">
        <v>1410</v>
      </c>
      <c r="C123" s="2" t="s">
        <v>35</v>
      </c>
      <c r="D123" s="2" t="s">
        <v>1169</v>
      </c>
      <c r="E123" s="2" t="n">
        <v>0</v>
      </c>
      <c r="F123" s="2" t="n">
        <v>1</v>
      </c>
      <c r="G123" s="2" t="s">
        <v>32</v>
      </c>
    </row>
    <row r="124" customFormat="false" ht="15" hidden="false" customHeight="false" outlineLevel="0" collapsed="false">
      <c r="A124" s="2" t="s">
        <v>1411</v>
      </c>
      <c r="B124" s="2" t="s">
        <v>1412</v>
      </c>
      <c r="C124" s="2" t="s">
        <v>90</v>
      </c>
      <c r="D124" s="2" t="s">
        <v>1206</v>
      </c>
      <c r="E124" s="2" t="n">
        <v>1</v>
      </c>
      <c r="F124" s="2" t="n">
        <v>0</v>
      </c>
      <c r="G124" s="2"/>
    </row>
    <row r="125" customFormat="false" ht="15" hidden="false" customHeight="false" outlineLevel="0" collapsed="false">
      <c r="A125" s="2" t="s">
        <v>1413</v>
      </c>
      <c r="B125" s="2" t="s">
        <v>1414</v>
      </c>
      <c r="C125" s="2" t="s">
        <v>106</v>
      </c>
      <c r="D125" s="2" t="s">
        <v>1206</v>
      </c>
      <c r="E125" s="2" t="n">
        <v>1</v>
      </c>
      <c r="F125" s="2" t="n">
        <v>0</v>
      </c>
      <c r="G125" s="2"/>
    </row>
    <row r="126" customFormat="false" ht="15" hidden="false" customHeight="false" outlineLevel="0" collapsed="false">
      <c r="A126" s="2" t="s">
        <v>1415</v>
      </c>
      <c r="B126" s="2" t="s">
        <v>1416</v>
      </c>
      <c r="C126" s="2" t="s">
        <v>299</v>
      </c>
      <c r="D126" s="2" t="s">
        <v>1169</v>
      </c>
      <c r="E126" s="2" t="n">
        <v>0</v>
      </c>
      <c r="F126" s="2" t="n">
        <v>1</v>
      </c>
      <c r="G126" s="2" t="s">
        <v>261</v>
      </c>
    </row>
    <row r="127" customFormat="false" ht="15" hidden="false" customHeight="false" outlineLevel="0" collapsed="false">
      <c r="A127" s="2" t="s">
        <v>1417</v>
      </c>
      <c r="B127" s="2" t="s">
        <v>1418</v>
      </c>
      <c r="C127" s="2" t="s">
        <v>299</v>
      </c>
      <c r="D127" s="2" t="s">
        <v>1169</v>
      </c>
      <c r="E127" s="2" t="n">
        <v>0</v>
      </c>
      <c r="F127" s="2" t="n">
        <v>1</v>
      </c>
      <c r="G127" s="2" t="s">
        <v>261</v>
      </c>
    </row>
    <row r="128" customFormat="false" ht="15" hidden="false" customHeight="false" outlineLevel="0" collapsed="false">
      <c r="A128" s="2" t="s">
        <v>1419</v>
      </c>
      <c r="B128" s="2" t="s">
        <v>1420</v>
      </c>
      <c r="C128" s="2" t="s">
        <v>299</v>
      </c>
      <c r="D128" s="2" t="s">
        <v>1169</v>
      </c>
      <c r="E128" s="2" t="n">
        <v>0</v>
      </c>
      <c r="F128" s="2" t="n">
        <v>1</v>
      </c>
      <c r="G128" s="2" t="s">
        <v>261</v>
      </c>
    </row>
    <row r="129" customFormat="false" ht="15" hidden="false" customHeight="false" outlineLevel="0" collapsed="false">
      <c r="A129" s="2" t="s">
        <v>1421</v>
      </c>
      <c r="B129" s="2" t="s">
        <v>1422</v>
      </c>
      <c r="C129" s="2" t="s">
        <v>20</v>
      </c>
      <c r="D129" s="2" t="s">
        <v>1169</v>
      </c>
      <c r="E129" s="2" t="n">
        <v>0</v>
      </c>
      <c r="F129" s="2" t="n">
        <v>1</v>
      </c>
      <c r="G129" s="2" t="s">
        <v>261</v>
      </c>
    </row>
    <row r="130" customFormat="false" ht="15" hidden="false" customHeight="false" outlineLevel="0" collapsed="false">
      <c r="A130" s="2" t="s">
        <v>1423</v>
      </c>
      <c r="B130" s="2" t="s">
        <v>1424</v>
      </c>
      <c r="C130" s="2" t="s">
        <v>299</v>
      </c>
      <c r="D130" s="2" t="s">
        <v>1169</v>
      </c>
      <c r="E130" s="2" t="n">
        <v>0</v>
      </c>
      <c r="F130" s="2" t="n">
        <v>1</v>
      </c>
      <c r="G130" s="2" t="s">
        <v>261</v>
      </c>
    </row>
    <row r="131" customFormat="false" ht="15" hidden="false" customHeight="false" outlineLevel="0" collapsed="false">
      <c r="A131" s="2" t="s">
        <v>1425</v>
      </c>
      <c r="B131" s="2" t="s">
        <v>1426</v>
      </c>
      <c r="C131" s="2" t="s">
        <v>106</v>
      </c>
      <c r="D131" s="2" t="s">
        <v>1169</v>
      </c>
      <c r="E131" s="2" t="n">
        <v>0</v>
      </c>
      <c r="F131" s="2" t="n">
        <v>1</v>
      </c>
      <c r="G131" s="2" t="s">
        <v>32</v>
      </c>
    </row>
    <row r="132" customFormat="false" ht="15" hidden="false" customHeight="false" outlineLevel="0" collapsed="false">
      <c r="A132" s="2" t="s">
        <v>1427</v>
      </c>
      <c r="B132" s="2" t="s">
        <v>1428</v>
      </c>
      <c r="C132" s="2" t="s">
        <v>90</v>
      </c>
      <c r="D132" s="2" t="s">
        <v>1169</v>
      </c>
      <c r="E132" s="2" t="n">
        <v>0</v>
      </c>
      <c r="F132" s="2" t="n">
        <v>1</v>
      </c>
      <c r="G132" s="2" t="s">
        <v>32</v>
      </c>
    </row>
    <row r="133" customFormat="false" ht="15" hidden="false" customHeight="false" outlineLevel="0" collapsed="false">
      <c r="A133" s="2" t="s">
        <v>1429</v>
      </c>
      <c r="B133" s="2" t="s">
        <v>1430</v>
      </c>
      <c r="C133" s="2" t="s">
        <v>20</v>
      </c>
      <c r="D133" s="2" t="s">
        <v>1169</v>
      </c>
      <c r="E133" s="2" t="n">
        <v>0</v>
      </c>
      <c r="F133" s="2" t="n">
        <v>1</v>
      </c>
      <c r="G133" s="2" t="s">
        <v>261</v>
      </c>
    </row>
    <row r="134" customFormat="false" ht="15" hidden="false" customHeight="false" outlineLevel="0" collapsed="false">
      <c r="A134" s="2" t="s">
        <v>1431</v>
      </c>
      <c r="B134" s="2" t="s">
        <v>1432</v>
      </c>
      <c r="C134" s="2" t="s">
        <v>355</v>
      </c>
      <c r="D134" s="2" t="s">
        <v>1206</v>
      </c>
      <c r="E134" s="2" t="n">
        <v>1</v>
      </c>
      <c r="F134" s="2" t="n">
        <v>0</v>
      </c>
      <c r="G134" s="2"/>
    </row>
    <row r="135" customFormat="false" ht="15" hidden="false" customHeight="false" outlineLevel="0" collapsed="false">
      <c r="A135" s="2" t="s">
        <v>1433</v>
      </c>
      <c r="B135" s="2" t="s">
        <v>1434</v>
      </c>
      <c r="C135" s="2" t="s">
        <v>52</v>
      </c>
      <c r="D135" s="2" t="s">
        <v>1169</v>
      </c>
      <c r="E135" s="2" t="n">
        <v>0</v>
      </c>
      <c r="F135" s="2" t="n">
        <v>1</v>
      </c>
      <c r="G135" s="2" t="s">
        <v>32</v>
      </c>
    </row>
    <row r="136" customFormat="false" ht="15" hidden="false" customHeight="false" outlineLevel="0" collapsed="false">
      <c r="A136" s="2" t="s">
        <v>1435</v>
      </c>
      <c r="B136" s="2" t="s">
        <v>1436</v>
      </c>
      <c r="C136" s="2" t="s">
        <v>20</v>
      </c>
      <c r="D136" s="2" t="s">
        <v>1169</v>
      </c>
      <c r="E136" s="2" t="n">
        <v>0</v>
      </c>
      <c r="F136" s="2" t="n">
        <v>1</v>
      </c>
      <c r="G136" s="2" t="s">
        <v>261</v>
      </c>
    </row>
    <row r="137" customFormat="false" ht="15" hidden="false" customHeight="false" outlineLevel="0" collapsed="false">
      <c r="A137" s="2" t="s">
        <v>1437</v>
      </c>
      <c r="B137" s="2" t="s">
        <v>721</v>
      </c>
      <c r="C137" s="2" t="s">
        <v>20</v>
      </c>
      <c r="D137" s="2" t="s">
        <v>1206</v>
      </c>
      <c r="E137" s="2" t="n">
        <v>1</v>
      </c>
      <c r="F137" s="2" t="n">
        <v>0</v>
      </c>
      <c r="G137" s="2"/>
    </row>
    <row r="138" customFormat="false" ht="15" hidden="false" customHeight="false" outlineLevel="0" collapsed="false">
      <c r="A138" s="2" t="s">
        <v>1438</v>
      </c>
      <c r="B138" s="2" t="s">
        <v>1439</v>
      </c>
      <c r="C138" s="2" t="s">
        <v>299</v>
      </c>
      <c r="D138" s="2" t="s">
        <v>1206</v>
      </c>
      <c r="E138" s="2" t="n">
        <v>2</v>
      </c>
      <c r="F138" s="2" t="n">
        <v>0</v>
      </c>
      <c r="G138" s="2"/>
    </row>
    <row r="139" customFormat="false" ht="15" hidden="false" customHeight="false" outlineLevel="0" collapsed="false">
      <c r="A139" s="2" t="s">
        <v>1440</v>
      </c>
      <c r="B139" s="2" t="s">
        <v>1441</v>
      </c>
      <c r="C139" s="2" t="s">
        <v>90</v>
      </c>
      <c r="D139" s="2" t="s">
        <v>1169</v>
      </c>
      <c r="E139" s="2" t="n">
        <v>0</v>
      </c>
      <c r="F139" s="2" t="n">
        <v>1</v>
      </c>
      <c r="G139" s="2" t="s">
        <v>32</v>
      </c>
    </row>
    <row r="140" customFormat="false" ht="15" hidden="false" customHeight="false" outlineLevel="0" collapsed="false">
      <c r="A140" s="2" t="s">
        <v>1442</v>
      </c>
      <c r="B140" s="2" t="s">
        <v>1443</v>
      </c>
      <c r="C140" s="2" t="s">
        <v>299</v>
      </c>
      <c r="D140" s="2" t="s">
        <v>1169</v>
      </c>
      <c r="E140" s="2" t="n">
        <v>0</v>
      </c>
      <c r="F140" s="2" t="n">
        <v>1</v>
      </c>
      <c r="G140" s="2" t="s">
        <v>261</v>
      </c>
    </row>
    <row r="141" customFormat="false" ht="15" hidden="false" customHeight="false" outlineLevel="0" collapsed="false">
      <c r="A141" s="2" t="s">
        <v>1444</v>
      </c>
      <c r="B141" s="2" t="s">
        <v>741</v>
      </c>
      <c r="C141" s="2" t="s">
        <v>623</v>
      </c>
      <c r="D141" s="2" t="s">
        <v>1206</v>
      </c>
      <c r="E141" s="2" t="n">
        <v>1</v>
      </c>
      <c r="F141" s="2" t="n">
        <v>0</v>
      </c>
      <c r="G141" s="2"/>
    </row>
    <row r="142" customFormat="false" ht="15" hidden="false" customHeight="false" outlineLevel="0" collapsed="false">
      <c r="A142" s="2" t="s">
        <v>1445</v>
      </c>
      <c r="B142" s="2" t="s">
        <v>1446</v>
      </c>
      <c r="C142" s="2" t="s">
        <v>90</v>
      </c>
      <c r="D142" s="2" t="s">
        <v>1169</v>
      </c>
      <c r="E142" s="2" t="n">
        <v>0</v>
      </c>
      <c r="F142" s="2" t="n">
        <v>1</v>
      </c>
      <c r="G142" s="2" t="s">
        <v>32</v>
      </c>
    </row>
    <row r="143" customFormat="false" ht="15" hidden="false" customHeight="false" outlineLevel="0" collapsed="false">
      <c r="A143" s="2" t="s">
        <v>1447</v>
      </c>
      <c r="B143" s="2" t="s">
        <v>1448</v>
      </c>
      <c r="C143" s="2" t="s">
        <v>20</v>
      </c>
      <c r="D143" s="2" t="s">
        <v>1169</v>
      </c>
      <c r="E143" s="2" t="n">
        <v>0</v>
      </c>
      <c r="F143" s="2" t="n">
        <v>1</v>
      </c>
      <c r="G143" s="2" t="s">
        <v>261</v>
      </c>
    </row>
    <row r="144" customFormat="false" ht="15" hidden="false" customHeight="false" outlineLevel="0" collapsed="false">
      <c r="A144" s="2" t="s">
        <v>1449</v>
      </c>
      <c r="B144" s="2" t="s">
        <v>1450</v>
      </c>
      <c r="C144" s="2" t="s">
        <v>20</v>
      </c>
      <c r="D144" s="2" t="s">
        <v>1169</v>
      </c>
      <c r="E144" s="2" t="n">
        <v>0</v>
      </c>
      <c r="F144" s="2" t="n">
        <v>1</v>
      </c>
      <c r="G144" s="2" t="s">
        <v>261</v>
      </c>
    </row>
    <row r="145" customFormat="false" ht="15" hidden="false" customHeight="false" outlineLevel="0" collapsed="false">
      <c r="A145" s="2" t="s">
        <v>1451</v>
      </c>
      <c r="B145" s="2" t="s">
        <v>1452</v>
      </c>
      <c r="C145" s="2" t="s">
        <v>20</v>
      </c>
      <c r="D145" s="2" t="s">
        <v>1169</v>
      </c>
      <c r="E145" s="2" t="n">
        <v>0</v>
      </c>
      <c r="F145" s="2" t="n">
        <v>1</v>
      </c>
      <c r="G145" s="2" t="s">
        <v>261</v>
      </c>
    </row>
    <row r="146" customFormat="false" ht="15" hidden="false" customHeight="false" outlineLevel="0" collapsed="false">
      <c r="A146" s="2" t="s">
        <v>1453</v>
      </c>
      <c r="B146" s="2" t="s">
        <v>1454</v>
      </c>
      <c r="C146" s="2" t="s">
        <v>20</v>
      </c>
      <c r="D146" s="2" t="s">
        <v>1169</v>
      </c>
      <c r="E146" s="2" t="n">
        <v>0</v>
      </c>
      <c r="F146" s="2" t="n">
        <v>1</v>
      </c>
      <c r="G146" s="2" t="s">
        <v>261</v>
      </c>
    </row>
    <row r="147" customFormat="false" ht="15" hidden="false" customHeight="false" outlineLevel="0" collapsed="false">
      <c r="A147" s="2" t="s">
        <v>1455</v>
      </c>
      <c r="B147" s="2" t="s">
        <v>1456</v>
      </c>
      <c r="C147" s="2" t="s">
        <v>299</v>
      </c>
      <c r="D147" s="2" t="s">
        <v>1169</v>
      </c>
      <c r="E147" s="2" t="n">
        <v>0</v>
      </c>
      <c r="F147" s="2" t="n">
        <v>1</v>
      </c>
      <c r="G147" s="2" t="s">
        <v>261</v>
      </c>
    </row>
    <row r="148" customFormat="false" ht="15" hidden="false" customHeight="false" outlineLevel="0" collapsed="false">
      <c r="A148" s="2" t="s">
        <v>1457</v>
      </c>
      <c r="B148" s="2" t="s">
        <v>1458</v>
      </c>
      <c r="C148" s="2" t="s">
        <v>299</v>
      </c>
      <c r="D148" s="2" t="s">
        <v>1169</v>
      </c>
      <c r="E148" s="2" t="n">
        <v>0</v>
      </c>
      <c r="F148" s="2" t="n">
        <v>1</v>
      </c>
      <c r="G148" s="2" t="s">
        <v>261</v>
      </c>
    </row>
    <row r="149" customFormat="false" ht="15" hidden="false" customHeight="false" outlineLevel="0" collapsed="false">
      <c r="A149" s="2" t="s">
        <v>1459</v>
      </c>
      <c r="B149" s="2" t="s">
        <v>1460</v>
      </c>
      <c r="C149" s="2" t="s">
        <v>20</v>
      </c>
      <c r="D149" s="2" t="s">
        <v>1169</v>
      </c>
      <c r="E149" s="2" t="n">
        <v>0</v>
      </c>
      <c r="F149" s="2" t="n">
        <v>1</v>
      </c>
      <c r="G149" s="2" t="s">
        <v>261</v>
      </c>
    </row>
    <row r="150" customFormat="false" ht="15" hidden="false" customHeight="false" outlineLevel="0" collapsed="false">
      <c r="A150" s="2" t="s">
        <v>1461</v>
      </c>
      <c r="B150" s="2" t="s">
        <v>1462</v>
      </c>
      <c r="C150" s="2" t="s">
        <v>299</v>
      </c>
      <c r="D150" s="2" t="s">
        <v>1169</v>
      </c>
      <c r="E150" s="2" t="n">
        <v>0</v>
      </c>
      <c r="F150" s="2" t="n">
        <v>1</v>
      </c>
      <c r="G150" s="2" t="s">
        <v>261</v>
      </c>
    </row>
    <row r="151" customFormat="false" ht="15" hidden="false" customHeight="false" outlineLevel="0" collapsed="false">
      <c r="A151" s="2" t="s">
        <v>1463</v>
      </c>
      <c r="B151" s="2" t="s">
        <v>1464</v>
      </c>
      <c r="C151" s="2" t="s">
        <v>1465</v>
      </c>
      <c r="D151" s="2" t="s">
        <v>1169</v>
      </c>
      <c r="E151" s="2" t="n">
        <v>0</v>
      </c>
      <c r="F151" s="2" t="n">
        <v>1</v>
      </c>
      <c r="G151" s="2" t="s">
        <v>32</v>
      </c>
    </row>
    <row r="152" customFormat="false" ht="15" hidden="false" customHeight="false" outlineLevel="0" collapsed="false">
      <c r="A152" s="2" t="s">
        <v>1466</v>
      </c>
      <c r="B152" s="2" t="s">
        <v>1467</v>
      </c>
      <c r="C152" s="2" t="s">
        <v>35</v>
      </c>
      <c r="D152" s="2" t="s">
        <v>1169</v>
      </c>
      <c r="E152" s="2" t="n">
        <v>0</v>
      </c>
      <c r="F152" s="2" t="n">
        <v>1</v>
      </c>
      <c r="G152" s="2" t="s">
        <v>32</v>
      </c>
    </row>
    <row r="153" customFormat="false" ht="15" hidden="false" customHeight="false" outlineLevel="0" collapsed="false">
      <c r="A153" s="2" t="s">
        <v>1468</v>
      </c>
      <c r="B153" s="2" t="s">
        <v>1469</v>
      </c>
      <c r="C153" s="2" t="s">
        <v>20</v>
      </c>
      <c r="D153" s="2" t="s">
        <v>1169</v>
      </c>
      <c r="E153" s="2" t="n">
        <v>0</v>
      </c>
      <c r="F153" s="2" t="n">
        <v>1</v>
      </c>
      <c r="G153" s="2" t="s">
        <v>261</v>
      </c>
    </row>
    <row r="154" customFormat="false" ht="15" hidden="false" customHeight="false" outlineLevel="0" collapsed="false">
      <c r="A154" s="2" t="s">
        <v>1470</v>
      </c>
      <c r="B154" s="2" t="s">
        <v>1471</v>
      </c>
      <c r="C154" s="2" t="s">
        <v>20</v>
      </c>
      <c r="D154" s="2" t="s">
        <v>1169</v>
      </c>
      <c r="E154" s="2" t="n">
        <v>0</v>
      </c>
      <c r="F154" s="2" t="n">
        <v>1</v>
      </c>
      <c r="G154" s="2" t="s">
        <v>261</v>
      </c>
    </row>
    <row r="155" customFormat="false" ht="15" hidden="false" customHeight="false" outlineLevel="0" collapsed="false">
      <c r="A155" s="2" t="s">
        <v>1472</v>
      </c>
      <c r="B155" s="2" t="s">
        <v>1473</v>
      </c>
      <c r="C155" s="2" t="s">
        <v>299</v>
      </c>
      <c r="D155" s="2" t="s">
        <v>1169</v>
      </c>
      <c r="E155" s="2" t="n">
        <v>0</v>
      </c>
      <c r="F155" s="2" t="n">
        <v>1</v>
      </c>
      <c r="G155" s="2" t="s">
        <v>261</v>
      </c>
    </row>
    <row r="156" customFormat="false" ht="15" hidden="false" customHeight="false" outlineLevel="0" collapsed="false">
      <c r="A156" s="2" t="s">
        <v>1474</v>
      </c>
      <c r="B156" s="2" t="s">
        <v>1475</v>
      </c>
      <c r="C156" s="2" t="s">
        <v>52</v>
      </c>
      <c r="D156" s="2" t="s">
        <v>1169</v>
      </c>
      <c r="E156" s="2" t="n">
        <v>0</v>
      </c>
      <c r="F156" s="2" t="n">
        <v>1</v>
      </c>
      <c r="G156" s="2" t="s">
        <v>32</v>
      </c>
    </row>
    <row r="157" customFormat="false" ht="15" hidden="false" customHeight="false" outlineLevel="0" collapsed="false">
      <c r="A157" s="2" t="s">
        <v>1476</v>
      </c>
      <c r="B157" s="2" t="s">
        <v>1477</v>
      </c>
      <c r="C157" s="2" t="s">
        <v>299</v>
      </c>
      <c r="D157" s="2" t="s">
        <v>1169</v>
      </c>
      <c r="E157" s="2" t="n">
        <v>0</v>
      </c>
      <c r="F157" s="2" t="n">
        <v>1</v>
      </c>
      <c r="G157" s="2" t="s">
        <v>261</v>
      </c>
    </row>
    <row r="158" customFormat="false" ht="15" hidden="false" customHeight="false" outlineLevel="0" collapsed="false">
      <c r="A158" s="2" t="s">
        <v>1478</v>
      </c>
      <c r="B158" s="2" t="s">
        <v>1479</v>
      </c>
      <c r="C158" s="2" t="s">
        <v>1301</v>
      </c>
      <c r="D158" s="2" t="s">
        <v>1169</v>
      </c>
      <c r="E158" s="2" t="n">
        <v>0</v>
      </c>
      <c r="F158" s="2" t="n">
        <v>1</v>
      </c>
      <c r="G158" s="2" t="s">
        <v>32</v>
      </c>
    </row>
    <row r="159" customFormat="false" ht="15" hidden="false" customHeight="false" outlineLevel="0" collapsed="false">
      <c r="A159" s="2" t="s">
        <v>1480</v>
      </c>
      <c r="B159" s="2" t="s">
        <v>1481</v>
      </c>
      <c r="C159" s="2" t="s">
        <v>202</v>
      </c>
      <c r="D159" s="2" t="s">
        <v>1169</v>
      </c>
      <c r="E159" s="2" t="n">
        <v>0</v>
      </c>
      <c r="F159" s="2" t="n">
        <v>1</v>
      </c>
      <c r="G159" s="2" t="s">
        <v>32</v>
      </c>
    </row>
    <row r="160" customFormat="false" ht="15" hidden="false" customHeight="false" outlineLevel="0" collapsed="false">
      <c r="A160" s="2" t="s">
        <v>1482</v>
      </c>
      <c r="B160" s="2" t="s">
        <v>1483</v>
      </c>
      <c r="C160" s="2" t="s">
        <v>20</v>
      </c>
      <c r="D160" s="2" t="s">
        <v>1169</v>
      </c>
      <c r="E160" s="2" t="n">
        <v>0</v>
      </c>
      <c r="F160" s="2" t="n">
        <v>1</v>
      </c>
      <c r="G160" s="2" t="s">
        <v>261</v>
      </c>
    </row>
    <row r="161" customFormat="false" ht="15" hidden="false" customHeight="false" outlineLevel="0" collapsed="false">
      <c r="A161" s="2" t="s">
        <v>1484</v>
      </c>
      <c r="B161" s="2" t="s">
        <v>1485</v>
      </c>
      <c r="C161" s="2" t="s">
        <v>90</v>
      </c>
      <c r="D161" s="2" t="s">
        <v>1169</v>
      </c>
      <c r="E161" s="2" t="n">
        <v>0</v>
      </c>
      <c r="F161" s="2" t="n">
        <v>1</v>
      </c>
      <c r="G161" s="2" t="s">
        <v>32</v>
      </c>
    </row>
    <row r="162" customFormat="false" ht="15" hidden="false" customHeight="false" outlineLevel="0" collapsed="false">
      <c r="A162" s="2" t="s">
        <v>1486</v>
      </c>
      <c r="B162" s="2" t="s">
        <v>1487</v>
      </c>
      <c r="C162" s="2" t="s">
        <v>20</v>
      </c>
      <c r="D162" s="2" t="s">
        <v>1169</v>
      </c>
      <c r="E162" s="2" t="n">
        <v>0</v>
      </c>
      <c r="F162" s="2" t="n">
        <v>1</v>
      </c>
      <c r="G162" s="2" t="s">
        <v>261</v>
      </c>
    </row>
    <row r="163" customFormat="false" ht="15" hidden="false" customHeight="false" outlineLevel="0" collapsed="false">
      <c r="A163" s="2" t="s">
        <v>1488</v>
      </c>
      <c r="B163" s="2" t="s">
        <v>1489</v>
      </c>
      <c r="C163" s="2" t="s">
        <v>52</v>
      </c>
      <c r="D163" s="2" t="s">
        <v>1169</v>
      </c>
      <c r="E163" s="2" t="n">
        <v>0</v>
      </c>
      <c r="F163" s="2" t="n">
        <v>1</v>
      </c>
      <c r="G163" s="2" t="s">
        <v>32</v>
      </c>
    </row>
    <row r="164" customFormat="false" ht="15" hidden="false" customHeight="false" outlineLevel="0" collapsed="false">
      <c r="A164" s="2" t="s">
        <v>1490</v>
      </c>
      <c r="B164" s="2" t="s">
        <v>525</v>
      </c>
      <c r="C164" s="2" t="s">
        <v>299</v>
      </c>
      <c r="D164" s="2" t="s">
        <v>1206</v>
      </c>
      <c r="E164" s="2" t="n">
        <v>1</v>
      </c>
      <c r="F164" s="2" t="n">
        <v>0</v>
      </c>
      <c r="G164" s="2"/>
    </row>
    <row r="165" customFormat="false" ht="15" hidden="false" customHeight="false" outlineLevel="0" collapsed="false">
      <c r="A165" s="2" t="s">
        <v>1491</v>
      </c>
      <c r="B165" s="2" t="s">
        <v>1492</v>
      </c>
      <c r="C165" s="2" t="s">
        <v>299</v>
      </c>
      <c r="D165" s="2" t="s">
        <v>1169</v>
      </c>
      <c r="E165" s="2" t="n">
        <v>0</v>
      </c>
      <c r="F165" s="2" t="n">
        <v>1</v>
      </c>
      <c r="G165" s="2" t="s">
        <v>261</v>
      </c>
    </row>
    <row r="166" customFormat="false" ht="15" hidden="false" customHeight="false" outlineLevel="0" collapsed="false">
      <c r="A166" s="2" t="s">
        <v>1493</v>
      </c>
      <c r="B166" s="2" t="s">
        <v>1494</v>
      </c>
      <c r="C166" s="2" t="s">
        <v>20</v>
      </c>
      <c r="D166" s="2" t="s">
        <v>1169</v>
      </c>
      <c r="E166" s="2" t="n">
        <v>0</v>
      </c>
      <c r="F166" s="2" t="n">
        <v>1</v>
      </c>
      <c r="G166" s="2" t="s">
        <v>261</v>
      </c>
    </row>
    <row r="167" customFormat="false" ht="15" hidden="false" customHeight="false" outlineLevel="0" collapsed="false">
      <c r="A167" s="2" t="s">
        <v>1495</v>
      </c>
      <c r="B167" s="2" t="s">
        <v>1496</v>
      </c>
      <c r="C167" s="2" t="s">
        <v>35</v>
      </c>
      <c r="D167" s="2" t="s">
        <v>1169</v>
      </c>
      <c r="E167" s="2" t="n">
        <v>0</v>
      </c>
      <c r="F167" s="2" t="n">
        <v>1</v>
      </c>
      <c r="G167" s="2" t="s">
        <v>261</v>
      </c>
    </row>
    <row r="168" customFormat="false" ht="15" hidden="false" customHeight="false" outlineLevel="0" collapsed="false">
      <c r="A168" s="2" t="s">
        <v>1497</v>
      </c>
      <c r="B168" s="2" t="s">
        <v>1054</v>
      </c>
      <c r="C168" s="2" t="s">
        <v>20</v>
      </c>
      <c r="D168" s="2" t="s">
        <v>1206</v>
      </c>
      <c r="E168" s="2" t="n">
        <v>1</v>
      </c>
      <c r="F168" s="2" t="n">
        <v>0</v>
      </c>
      <c r="G168" s="2"/>
    </row>
    <row r="169" customFormat="false" ht="15" hidden="false" customHeight="false" outlineLevel="0" collapsed="false">
      <c r="A169" s="2" t="s">
        <v>1498</v>
      </c>
      <c r="B169" s="2" t="s">
        <v>1499</v>
      </c>
      <c r="C169" s="2" t="s">
        <v>20</v>
      </c>
      <c r="D169" s="2" t="s">
        <v>1169</v>
      </c>
      <c r="E169" s="2" t="n">
        <v>0</v>
      </c>
      <c r="F169" s="2" t="n">
        <v>1</v>
      </c>
      <c r="G169" s="2" t="s">
        <v>32</v>
      </c>
    </row>
    <row r="170" customFormat="false" ht="15" hidden="false" customHeight="false" outlineLevel="0" collapsed="false">
      <c r="A170" s="2" t="s">
        <v>1500</v>
      </c>
      <c r="B170" s="2" t="s">
        <v>1501</v>
      </c>
      <c r="C170" s="2" t="s">
        <v>106</v>
      </c>
      <c r="D170" s="2" t="s">
        <v>1206</v>
      </c>
      <c r="E170" s="2" t="n">
        <v>1</v>
      </c>
      <c r="F170" s="2" t="n">
        <v>0</v>
      </c>
      <c r="G170" s="2"/>
    </row>
    <row r="171" customFormat="false" ht="15" hidden="false" customHeight="false" outlineLevel="0" collapsed="false">
      <c r="A171" s="2" t="s">
        <v>1502</v>
      </c>
      <c r="B171" s="2" t="s">
        <v>1503</v>
      </c>
      <c r="C171" s="2" t="s">
        <v>35</v>
      </c>
      <c r="D171" s="2" t="s">
        <v>1169</v>
      </c>
      <c r="E171" s="2" t="n">
        <v>0</v>
      </c>
      <c r="F171" s="2" t="n">
        <v>1</v>
      </c>
      <c r="G171" s="2" t="s">
        <v>261</v>
      </c>
    </row>
    <row r="172" customFormat="false" ht="15" hidden="false" customHeight="false" outlineLevel="0" collapsed="false">
      <c r="A172" s="2" t="s">
        <v>1504</v>
      </c>
      <c r="B172" s="2" t="s">
        <v>1505</v>
      </c>
      <c r="C172" s="2" t="s">
        <v>224</v>
      </c>
      <c r="D172" s="2" t="s">
        <v>1169</v>
      </c>
      <c r="E172" s="2" t="n">
        <v>0</v>
      </c>
      <c r="F172" s="2" t="n">
        <v>1</v>
      </c>
      <c r="G172" s="2" t="s">
        <v>261</v>
      </c>
    </row>
    <row r="173" customFormat="false" ht="15" hidden="false" customHeight="false" outlineLevel="0" collapsed="false">
      <c r="A173" s="2" t="s">
        <v>1506</v>
      </c>
      <c r="B173" s="2" t="s">
        <v>1507</v>
      </c>
      <c r="C173" s="2" t="s">
        <v>1508</v>
      </c>
      <c r="D173" s="2" t="s">
        <v>1169</v>
      </c>
      <c r="E173" s="2" t="n">
        <v>0</v>
      </c>
      <c r="F173" s="2" t="n">
        <v>1</v>
      </c>
      <c r="G173" s="2" t="s">
        <v>32</v>
      </c>
    </row>
    <row r="174" customFormat="false" ht="15" hidden="false" customHeight="false" outlineLevel="0" collapsed="false">
      <c r="A174" s="2" t="s">
        <v>1509</v>
      </c>
      <c r="B174" s="2" t="s">
        <v>1510</v>
      </c>
      <c r="C174" s="2" t="s">
        <v>35</v>
      </c>
      <c r="D174" s="2" t="s">
        <v>1169</v>
      </c>
      <c r="E174" s="2" t="n">
        <v>0</v>
      </c>
      <c r="F174" s="2" t="n">
        <v>1</v>
      </c>
      <c r="G174" s="2" t="s">
        <v>32</v>
      </c>
    </row>
    <row r="175" customFormat="false" ht="15" hidden="false" customHeight="false" outlineLevel="0" collapsed="false">
      <c r="A175" s="2" t="s">
        <v>1511</v>
      </c>
      <c r="B175" s="2" t="s">
        <v>1512</v>
      </c>
      <c r="C175" s="2" t="s">
        <v>20</v>
      </c>
      <c r="D175" s="2" t="s">
        <v>1169</v>
      </c>
      <c r="E175" s="2" t="n">
        <v>0</v>
      </c>
      <c r="F175" s="2" t="n">
        <v>2</v>
      </c>
      <c r="G175" s="2" t="s">
        <v>261</v>
      </c>
    </row>
    <row r="176" customFormat="false" ht="15" hidden="false" customHeight="false" outlineLevel="0" collapsed="false">
      <c r="A176" s="2" t="s">
        <v>1513</v>
      </c>
      <c r="B176" s="2" t="s">
        <v>1514</v>
      </c>
      <c r="C176" s="2" t="s">
        <v>20</v>
      </c>
      <c r="D176" s="2" t="s">
        <v>1169</v>
      </c>
      <c r="E176" s="2" t="n">
        <v>0</v>
      </c>
      <c r="F176" s="2" t="n">
        <v>1</v>
      </c>
      <c r="G176" s="2" t="s">
        <v>261</v>
      </c>
    </row>
    <row r="177" customFormat="false" ht="15" hidden="false" customHeight="false" outlineLevel="0" collapsed="false">
      <c r="A177" s="2" t="s">
        <v>1515</v>
      </c>
      <c r="B177" s="2" t="s">
        <v>490</v>
      </c>
      <c r="C177" s="2" t="s">
        <v>35</v>
      </c>
      <c r="D177" s="2" t="s">
        <v>1206</v>
      </c>
      <c r="E177" s="2" t="n">
        <v>1</v>
      </c>
      <c r="F177" s="2" t="n">
        <v>0</v>
      </c>
      <c r="G177" s="2"/>
    </row>
    <row r="178" customFormat="false" ht="15" hidden="false" customHeight="false" outlineLevel="0" collapsed="false">
      <c r="A178" s="2" t="s">
        <v>1516</v>
      </c>
      <c r="B178" s="2" t="s">
        <v>512</v>
      </c>
      <c r="C178" s="2" t="s">
        <v>513</v>
      </c>
      <c r="D178" s="2" t="s">
        <v>1206</v>
      </c>
      <c r="E178" s="2" t="n">
        <v>1</v>
      </c>
      <c r="F178" s="2" t="n">
        <v>0</v>
      </c>
      <c r="G178" s="2"/>
    </row>
    <row r="179" customFormat="false" ht="15" hidden="false" customHeight="false" outlineLevel="0" collapsed="false">
      <c r="A179" s="2" t="s">
        <v>1517</v>
      </c>
      <c r="B179" s="2" t="s">
        <v>1518</v>
      </c>
      <c r="C179" s="2" t="s">
        <v>20</v>
      </c>
      <c r="D179" s="2" t="s">
        <v>1169</v>
      </c>
      <c r="E179" s="2" t="n">
        <v>0</v>
      </c>
      <c r="F179" s="2" t="n">
        <v>1</v>
      </c>
      <c r="G179" s="2" t="s">
        <v>261</v>
      </c>
    </row>
    <row r="180" customFormat="false" ht="15" hidden="false" customHeight="false" outlineLevel="0" collapsed="false">
      <c r="A180" s="2" t="s">
        <v>1519</v>
      </c>
      <c r="B180" s="2" t="s">
        <v>1520</v>
      </c>
      <c r="C180" s="2" t="s">
        <v>299</v>
      </c>
      <c r="D180" s="2" t="s">
        <v>1169</v>
      </c>
      <c r="E180" s="2" t="n">
        <v>0</v>
      </c>
      <c r="F180" s="2" t="n">
        <v>1</v>
      </c>
      <c r="G180" s="2" t="s">
        <v>261</v>
      </c>
    </row>
    <row r="181" customFormat="false" ht="15" hidden="false" customHeight="false" outlineLevel="0" collapsed="false">
      <c r="A181" s="2" t="s">
        <v>1521</v>
      </c>
      <c r="B181" s="2" t="s">
        <v>1522</v>
      </c>
      <c r="C181" s="2" t="s">
        <v>20</v>
      </c>
      <c r="D181" s="2" t="s">
        <v>1169</v>
      </c>
      <c r="E181" s="2" t="n">
        <v>0</v>
      </c>
      <c r="F181" s="2" t="n">
        <v>1</v>
      </c>
      <c r="G181" s="2" t="s">
        <v>32</v>
      </c>
    </row>
    <row r="182" customFormat="false" ht="15" hidden="false" customHeight="false" outlineLevel="0" collapsed="false">
      <c r="A182" s="2" t="s">
        <v>1523</v>
      </c>
      <c r="B182" s="2" t="s">
        <v>1524</v>
      </c>
      <c r="C182" s="2" t="s">
        <v>299</v>
      </c>
      <c r="D182" s="2" t="s">
        <v>1169</v>
      </c>
      <c r="E182" s="2" t="n">
        <v>0</v>
      </c>
      <c r="F182" s="2" t="n">
        <v>1</v>
      </c>
      <c r="G182" s="2" t="s">
        <v>261</v>
      </c>
    </row>
    <row r="183" customFormat="false" ht="15" hidden="false" customHeight="false" outlineLevel="0" collapsed="false">
      <c r="A183" s="2" t="s">
        <v>1525</v>
      </c>
      <c r="B183" s="2" t="s">
        <v>1526</v>
      </c>
      <c r="C183" s="2" t="s">
        <v>20</v>
      </c>
      <c r="D183" s="2" t="s">
        <v>1169</v>
      </c>
      <c r="E183" s="2" t="n">
        <v>0</v>
      </c>
      <c r="F183" s="2" t="n">
        <v>1</v>
      </c>
      <c r="G183" s="2" t="s">
        <v>261</v>
      </c>
    </row>
    <row r="184" customFormat="false" ht="15" hidden="false" customHeight="false" outlineLevel="0" collapsed="false">
      <c r="A184" s="2" t="s">
        <v>1527</v>
      </c>
      <c r="B184" s="2" t="s">
        <v>1528</v>
      </c>
      <c r="C184" s="2" t="s">
        <v>942</v>
      </c>
      <c r="D184" s="2" t="s">
        <v>1169</v>
      </c>
      <c r="E184" s="2" t="n">
        <v>0</v>
      </c>
      <c r="F184" s="2" t="n">
        <v>1</v>
      </c>
      <c r="G184" s="2" t="s">
        <v>32</v>
      </c>
    </row>
    <row r="185" customFormat="false" ht="15" hidden="false" customHeight="false" outlineLevel="0" collapsed="false">
      <c r="A185" s="2" t="s">
        <v>1529</v>
      </c>
      <c r="B185" s="2" t="s">
        <v>1530</v>
      </c>
      <c r="C185" s="2" t="s">
        <v>20</v>
      </c>
      <c r="D185" s="2" t="s">
        <v>1169</v>
      </c>
      <c r="E185" s="2" t="n">
        <v>0</v>
      </c>
      <c r="F185" s="2" t="n">
        <v>1</v>
      </c>
      <c r="G185" s="2" t="s">
        <v>261</v>
      </c>
    </row>
    <row r="186" customFormat="false" ht="15" hidden="false" customHeight="false" outlineLevel="0" collapsed="false">
      <c r="A186" s="2" t="s">
        <v>1531</v>
      </c>
      <c r="B186" s="2" t="s">
        <v>1532</v>
      </c>
      <c r="C186" s="2" t="s">
        <v>299</v>
      </c>
      <c r="D186" s="2" t="s">
        <v>1169</v>
      </c>
      <c r="E186" s="2" t="n">
        <v>0</v>
      </c>
      <c r="F186" s="2" t="n">
        <v>1</v>
      </c>
      <c r="G186" s="2" t="s">
        <v>261</v>
      </c>
    </row>
    <row r="187" customFormat="false" ht="15" hidden="false" customHeight="false" outlineLevel="0" collapsed="false">
      <c r="A187" s="2" t="s">
        <v>1533</v>
      </c>
      <c r="B187" s="2" t="s">
        <v>1534</v>
      </c>
      <c r="C187" s="2" t="s">
        <v>299</v>
      </c>
      <c r="D187" s="2" t="s">
        <v>1169</v>
      </c>
      <c r="E187" s="2" t="n">
        <v>0</v>
      </c>
      <c r="F187" s="2" t="n">
        <v>1</v>
      </c>
      <c r="G187" s="2" t="s">
        <v>261</v>
      </c>
    </row>
    <row r="188" customFormat="false" ht="15" hidden="false" customHeight="false" outlineLevel="0" collapsed="false">
      <c r="A188" s="2" t="s">
        <v>1535</v>
      </c>
      <c r="B188" s="2" t="s">
        <v>1536</v>
      </c>
      <c r="C188" s="2" t="s">
        <v>355</v>
      </c>
      <c r="D188" s="2" t="s">
        <v>1169</v>
      </c>
      <c r="E188" s="2" t="n">
        <v>0</v>
      </c>
      <c r="F188" s="2" t="n">
        <v>1</v>
      </c>
      <c r="G188" s="2" t="s">
        <v>32</v>
      </c>
    </row>
    <row r="189" customFormat="false" ht="15" hidden="false" customHeight="false" outlineLevel="0" collapsed="false">
      <c r="A189" s="2" t="s">
        <v>1537</v>
      </c>
      <c r="B189" s="2" t="s">
        <v>1538</v>
      </c>
      <c r="C189" s="2" t="s">
        <v>106</v>
      </c>
      <c r="D189" s="2" t="s">
        <v>1169</v>
      </c>
      <c r="E189" s="2" t="n">
        <v>0</v>
      </c>
      <c r="F189" s="2" t="n">
        <v>1</v>
      </c>
      <c r="G189" s="2" t="s">
        <v>32</v>
      </c>
    </row>
    <row r="190" customFormat="false" ht="15" hidden="false" customHeight="false" outlineLevel="0" collapsed="false">
      <c r="A190" s="2" t="s">
        <v>1539</v>
      </c>
      <c r="B190" s="2" t="s">
        <v>1540</v>
      </c>
      <c r="C190" s="2" t="s">
        <v>355</v>
      </c>
      <c r="D190" s="2" t="s">
        <v>1169</v>
      </c>
      <c r="E190" s="2" t="n">
        <v>0</v>
      </c>
      <c r="F190" s="2" t="n">
        <v>1</v>
      </c>
      <c r="G190" s="2" t="s">
        <v>32</v>
      </c>
    </row>
    <row r="191" customFormat="false" ht="15" hidden="false" customHeight="false" outlineLevel="0" collapsed="false">
      <c r="A191" s="2" t="s">
        <v>1541</v>
      </c>
      <c r="B191" s="2" t="s">
        <v>1542</v>
      </c>
      <c r="C191" s="2" t="s">
        <v>427</v>
      </c>
      <c r="D191" s="2" t="s">
        <v>1169</v>
      </c>
      <c r="E191" s="2" t="n">
        <v>0</v>
      </c>
      <c r="F191" s="2" t="n">
        <v>1</v>
      </c>
      <c r="G191" s="2" t="s">
        <v>32</v>
      </c>
    </row>
    <row r="192" customFormat="false" ht="15" hidden="false" customHeight="false" outlineLevel="0" collapsed="false">
      <c r="A192" s="2" t="s">
        <v>1543</v>
      </c>
      <c r="B192" s="2" t="s">
        <v>1544</v>
      </c>
      <c r="C192" s="2" t="s">
        <v>20</v>
      </c>
      <c r="D192" s="2" t="s">
        <v>1169</v>
      </c>
      <c r="E192" s="2" t="n">
        <v>0</v>
      </c>
      <c r="F192" s="2" t="n">
        <v>1</v>
      </c>
      <c r="G192" s="2" t="s">
        <v>261</v>
      </c>
    </row>
    <row r="193" customFormat="false" ht="15" hidden="false" customHeight="false" outlineLevel="0" collapsed="false">
      <c r="A193" s="2" t="s">
        <v>1545</v>
      </c>
      <c r="B193" s="2" t="s">
        <v>1546</v>
      </c>
      <c r="C193" s="2" t="s">
        <v>20</v>
      </c>
      <c r="D193" s="2" t="s">
        <v>1169</v>
      </c>
      <c r="E193" s="2" t="n">
        <v>0</v>
      </c>
      <c r="F193" s="2" t="n">
        <v>1</v>
      </c>
      <c r="G193" s="2" t="s">
        <v>261</v>
      </c>
    </row>
    <row r="194" customFormat="false" ht="15" hidden="false" customHeight="false" outlineLevel="0" collapsed="false">
      <c r="A194" s="2" t="s">
        <v>1547</v>
      </c>
      <c r="B194" s="2" t="s">
        <v>1548</v>
      </c>
      <c r="C194" s="2" t="s">
        <v>106</v>
      </c>
      <c r="D194" s="2" t="s">
        <v>1169</v>
      </c>
      <c r="E194" s="2" t="n">
        <v>0</v>
      </c>
      <c r="F194" s="2" t="n">
        <v>1</v>
      </c>
      <c r="G194" s="2" t="s">
        <v>261</v>
      </c>
    </row>
    <row r="195" customFormat="false" ht="15" hidden="false" customHeight="false" outlineLevel="0" collapsed="false">
      <c r="A195" s="2" t="s">
        <v>1549</v>
      </c>
      <c r="B195" s="2" t="s">
        <v>1550</v>
      </c>
      <c r="C195" s="2" t="s">
        <v>115</v>
      </c>
      <c r="D195" s="2" t="s">
        <v>1169</v>
      </c>
      <c r="E195" s="2" t="n">
        <v>0</v>
      </c>
      <c r="F195" s="2" t="n">
        <v>1</v>
      </c>
      <c r="G195" s="2" t="s">
        <v>32</v>
      </c>
    </row>
    <row r="196" customFormat="false" ht="15" hidden="false" customHeight="false" outlineLevel="0" collapsed="false">
      <c r="A196" s="2" t="s">
        <v>1551</v>
      </c>
      <c r="B196" s="2" t="s">
        <v>1552</v>
      </c>
      <c r="C196" s="2" t="s">
        <v>106</v>
      </c>
      <c r="D196" s="2" t="s">
        <v>1206</v>
      </c>
      <c r="E196" s="2" t="n">
        <v>1</v>
      </c>
      <c r="F196" s="2" t="n">
        <v>0</v>
      </c>
      <c r="G196" s="2"/>
    </row>
    <row r="197" customFormat="false" ht="15" hidden="false" customHeight="false" outlineLevel="0" collapsed="false">
      <c r="A197" s="2" t="s">
        <v>1553</v>
      </c>
      <c r="B197" s="2" t="s">
        <v>1554</v>
      </c>
      <c r="C197" s="2" t="s">
        <v>299</v>
      </c>
      <c r="D197" s="2" t="s">
        <v>1169</v>
      </c>
      <c r="E197" s="2" t="n">
        <v>0</v>
      </c>
      <c r="F197" s="2" t="n">
        <v>1</v>
      </c>
      <c r="G197" s="2" t="s">
        <v>261</v>
      </c>
    </row>
    <row r="198" customFormat="false" ht="15" hidden="false" customHeight="false" outlineLevel="0" collapsed="false">
      <c r="A198" s="2" t="s">
        <v>1555</v>
      </c>
      <c r="B198" s="2" t="s">
        <v>1556</v>
      </c>
      <c r="C198" s="2" t="s">
        <v>299</v>
      </c>
      <c r="D198" s="2" t="s">
        <v>1169</v>
      </c>
      <c r="E198" s="2" t="n">
        <v>0</v>
      </c>
      <c r="F198" s="2" t="n">
        <v>1</v>
      </c>
      <c r="G198" s="2" t="s">
        <v>261</v>
      </c>
    </row>
    <row r="199" customFormat="false" ht="15" hidden="false" customHeight="false" outlineLevel="0" collapsed="false">
      <c r="A199" s="2" t="s">
        <v>1557</v>
      </c>
      <c r="B199" s="2" t="s">
        <v>1558</v>
      </c>
      <c r="C199" s="2" t="s">
        <v>20</v>
      </c>
      <c r="D199" s="2" t="s">
        <v>1169</v>
      </c>
      <c r="E199" s="2" t="n">
        <v>0</v>
      </c>
      <c r="F199" s="2" t="n">
        <v>1</v>
      </c>
      <c r="G199" s="2" t="s">
        <v>261</v>
      </c>
    </row>
    <row r="200" customFormat="false" ht="15" hidden="false" customHeight="false" outlineLevel="0" collapsed="false">
      <c r="A200" s="2" t="s">
        <v>1559</v>
      </c>
      <c r="B200" s="2" t="s">
        <v>1560</v>
      </c>
      <c r="C200" s="2" t="s">
        <v>427</v>
      </c>
      <c r="D200" s="2" t="s">
        <v>1169</v>
      </c>
      <c r="E200" s="2" t="n">
        <v>0</v>
      </c>
      <c r="F200" s="2" t="n">
        <v>1</v>
      </c>
      <c r="G200" s="2" t="s">
        <v>261</v>
      </c>
    </row>
    <row r="201" customFormat="false" ht="15" hidden="false" customHeight="false" outlineLevel="0" collapsed="false">
      <c r="A201" s="2" t="s">
        <v>1561</v>
      </c>
      <c r="B201" s="2" t="s">
        <v>1562</v>
      </c>
      <c r="C201" s="2" t="s">
        <v>64</v>
      </c>
      <c r="D201" s="2" t="s">
        <v>1169</v>
      </c>
      <c r="E201" s="2" t="n">
        <v>0</v>
      </c>
      <c r="F201" s="2" t="n">
        <v>1</v>
      </c>
      <c r="G201" s="2" t="s">
        <v>32</v>
      </c>
    </row>
    <row r="202" customFormat="false" ht="15" hidden="false" customHeight="false" outlineLevel="0" collapsed="false">
      <c r="A202" s="2" t="s">
        <v>1563</v>
      </c>
      <c r="B202" s="2" t="s">
        <v>1564</v>
      </c>
      <c r="C202" s="2" t="s">
        <v>52</v>
      </c>
      <c r="D202" s="2" t="s">
        <v>1169</v>
      </c>
      <c r="E202" s="2" t="n">
        <v>0</v>
      </c>
      <c r="F202" s="2" t="n">
        <v>1</v>
      </c>
      <c r="G202" s="2" t="s">
        <v>32</v>
      </c>
    </row>
    <row r="203" customFormat="false" ht="15" hidden="false" customHeight="false" outlineLevel="0" collapsed="false">
      <c r="A203" s="2" t="s">
        <v>1565</v>
      </c>
      <c r="B203" s="2" t="s">
        <v>1566</v>
      </c>
      <c r="C203" s="2" t="s">
        <v>73</v>
      </c>
      <c r="D203" s="2" t="s">
        <v>1169</v>
      </c>
      <c r="E203" s="2" t="n">
        <v>0</v>
      </c>
      <c r="F203" s="2" t="n">
        <v>1</v>
      </c>
      <c r="G203" s="2" t="s">
        <v>261</v>
      </c>
    </row>
    <row r="204" customFormat="false" ht="15" hidden="false" customHeight="false" outlineLevel="0" collapsed="false">
      <c r="A204" s="2" t="s">
        <v>1567</v>
      </c>
      <c r="B204" s="2" t="s">
        <v>445</v>
      </c>
      <c r="C204" s="2" t="s">
        <v>446</v>
      </c>
      <c r="D204" s="2" t="s">
        <v>1206</v>
      </c>
      <c r="E204" s="2" t="n">
        <v>1</v>
      </c>
      <c r="F204" s="2" t="n">
        <v>0</v>
      </c>
      <c r="G204" s="2"/>
    </row>
    <row r="205" customFormat="false" ht="15" hidden="false" customHeight="false" outlineLevel="0" collapsed="false">
      <c r="A205" s="2" t="s">
        <v>1568</v>
      </c>
      <c r="B205" s="2" t="s">
        <v>1569</v>
      </c>
      <c r="C205" s="2" t="s">
        <v>52</v>
      </c>
      <c r="D205" s="2" t="s">
        <v>1206</v>
      </c>
      <c r="E205" s="2" t="n">
        <v>1</v>
      </c>
      <c r="F205" s="2" t="n">
        <v>0</v>
      </c>
      <c r="G205" s="2"/>
    </row>
    <row r="206" customFormat="false" ht="15" hidden="false" customHeight="false" outlineLevel="0" collapsed="false">
      <c r="A206" s="2" t="s">
        <v>1570</v>
      </c>
      <c r="B206" s="2" t="s">
        <v>1571</v>
      </c>
      <c r="C206" s="2" t="s">
        <v>299</v>
      </c>
      <c r="D206" s="2" t="s">
        <v>1169</v>
      </c>
      <c r="E206" s="2" t="n">
        <v>0</v>
      </c>
      <c r="F206" s="2" t="n">
        <v>1</v>
      </c>
      <c r="G206" s="2" t="s">
        <v>261</v>
      </c>
    </row>
    <row r="207" customFormat="false" ht="15" hidden="false" customHeight="false" outlineLevel="0" collapsed="false">
      <c r="A207" s="2" t="s">
        <v>1572</v>
      </c>
      <c r="B207" s="2" t="s">
        <v>1573</v>
      </c>
      <c r="C207" s="2" t="s">
        <v>52</v>
      </c>
      <c r="D207" s="2" t="s">
        <v>1169</v>
      </c>
      <c r="E207" s="2" t="n">
        <v>0</v>
      </c>
      <c r="F207" s="2" t="n">
        <v>1</v>
      </c>
      <c r="G207" s="2" t="s">
        <v>32</v>
      </c>
    </row>
    <row r="208" customFormat="false" ht="15" hidden="false" customHeight="false" outlineLevel="0" collapsed="false">
      <c r="A208" s="2" t="s">
        <v>1574</v>
      </c>
      <c r="B208" s="2" t="s">
        <v>1575</v>
      </c>
      <c r="C208" s="2" t="s">
        <v>299</v>
      </c>
      <c r="D208" s="2" t="s">
        <v>1169</v>
      </c>
      <c r="E208" s="2" t="n">
        <v>0</v>
      </c>
      <c r="F208" s="2" t="n">
        <v>1</v>
      </c>
      <c r="G208" s="2" t="s">
        <v>261</v>
      </c>
    </row>
    <row r="209" customFormat="false" ht="15" hidden="false" customHeight="false" outlineLevel="0" collapsed="false">
      <c r="A209" s="2" t="s">
        <v>1576</v>
      </c>
      <c r="B209" s="2" t="s">
        <v>1577</v>
      </c>
      <c r="C209" s="2" t="s">
        <v>20</v>
      </c>
      <c r="D209" s="2" t="s">
        <v>1169</v>
      </c>
      <c r="E209" s="2" t="n">
        <v>0</v>
      </c>
      <c r="F209" s="2" t="n">
        <v>1</v>
      </c>
      <c r="G209" s="2" t="s">
        <v>261</v>
      </c>
    </row>
    <row r="210" customFormat="false" ht="15" hidden="false" customHeight="false" outlineLevel="0" collapsed="false">
      <c r="A210" s="2" t="s">
        <v>1578</v>
      </c>
      <c r="B210" s="2" t="s">
        <v>1579</v>
      </c>
      <c r="C210" s="2" t="s">
        <v>20</v>
      </c>
      <c r="D210" s="2" t="s">
        <v>1169</v>
      </c>
      <c r="E210" s="2" t="n">
        <v>0</v>
      </c>
      <c r="F210" s="2" t="n">
        <v>1</v>
      </c>
      <c r="G210" s="2" t="s">
        <v>261</v>
      </c>
    </row>
    <row r="211" customFormat="false" ht="15" hidden="false" customHeight="false" outlineLevel="0" collapsed="false">
      <c r="A211" s="2" t="s">
        <v>1580</v>
      </c>
      <c r="B211" s="2" t="s">
        <v>1581</v>
      </c>
      <c r="C211" s="2" t="s">
        <v>299</v>
      </c>
      <c r="D211" s="2" t="s">
        <v>1169</v>
      </c>
      <c r="E211" s="2" t="n">
        <v>0</v>
      </c>
      <c r="F211" s="2" t="n">
        <v>1</v>
      </c>
      <c r="G211" s="2" t="s">
        <v>261</v>
      </c>
    </row>
    <row r="212" customFormat="false" ht="15" hidden="false" customHeight="false" outlineLevel="0" collapsed="false">
      <c r="A212" s="2" t="s">
        <v>1582</v>
      </c>
      <c r="B212" s="2" t="s">
        <v>1583</v>
      </c>
      <c r="C212" s="2" t="s">
        <v>570</v>
      </c>
      <c r="D212" s="2" t="s">
        <v>1206</v>
      </c>
      <c r="E212" s="2" t="n">
        <v>1</v>
      </c>
      <c r="F212" s="2" t="n">
        <v>0</v>
      </c>
      <c r="G212" s="2"/>
    </row>
    <row r="213" customFormat="false" ht="15" hidden="false" customHeight="false" outlineLevel="0" collapsed="false">
      <c r="A213" s="2" t="s">
        <v>1584</v>
      </c>
      <c r="B213" s="2" t="s">
        <v>454</v>
      </c>
      <c r="C213" s="2" t="s">
        <v>455</v>
      </c>
      <c r="D213" s="2" t="s">
        <v>1206</v>
      </c>
      <c r="E213" s="2" t="n">
        <v>1</v>
      </c>
      <c r="F213" s="2" t="n">
        <v>0</v>
      </c>
      <c r="G213" s="2"/>
    </row>
    <row r="214" customFormat="false" ht="15" hidden="false" customHeight="false" outlineLevel="0" collapsed="false">
      <c r="A214" s="2" t="s">
        <v>1585</v>
      </c>
      <c r="B214" s="2" t="s">
        <v>1586</v>
      </c>
      <c r="C214" s="2" t="s">
        <v>106</v>
      </c>
      <c r="D214" s="2" t="s">
        <v>1169</v>
      </c>
      <c r="E214" s="2" t="n">
        <v>0</v>
      </c>
      <c r="F214" s="2" t="n">
        <v>1</v>
      </c>
      <c r="G214" s="2" t="s">
        <v>32</v>
      </c>
    </row>
    <row r="215" customFormat="false" ht="15" hidden="false" customHeight="false" outlineLevel="0" collapsed="false">
      <c r="A215" s="2" t="s">
        <v>1587</v>
      </c>
      <c r="B215" s="2" t="s">
        <v>1588</v>
      </c>
      <c r="C215" s="2" t="s">
        <v>20</v>
      </c>
      <c r="D215" s="2" t="s">
        <v>1169</v>
      </c>
      <c r="E215" s="2" t="n">
        <v>0</v>
      </c>
      <c r="F215" s="2" t="n">
        <v>2</v>
      </c>
      <c r="G215" s="2" t="s">
        <v>261</v>
      </c>
    </row>
    <row r="216" customFormat="false" ht="15" hidden="false" customHeight="false" outlineLevel="0" collapsed="false">
      <c r="A216" s="2" t="s">
        <v>1589</v>
      </c>
      <c r="B216" s="2" t="s">
        <v>1590</v>
      </c>
      <c r="C216" s="2" t="s">
        <v>299</v>
      </c>
      <c r="D216" s="2" t="s">
        <v>1206</v>
      </c>
      <c r="E216" s="2" t="n">
        <v>1</v>
      </c>
      <c r="F216" s="2" t="n">
        <v>0</v>
      </c>
      <c r="G216" s="2"/>
    </row>
    <row r="217" customFormat="false" ht="15" hidden="false" customHeight="false" outlineLevel="0" collapsed="false">
      <c r="A217" s="2" t="s">
        <v>1591</v>
      </c>
      <c r="B217" s="2" t="s">
        <v>824</v>
      </c>
      <c r="C217" s="2" t="s">
        <v>355</v>
      </c>
      <c r="D217" s="2" t="s">
        <v>1206</v>
      </c>
      <c r="E217" s="2" t="n">
        <v>2</v>
      </c>
      <c r="F217" s="2" t="n">
        <v>0</v>
      </c>
      <c r="G217" s="2"/>
    </row>
    <row r="218" customFormat="false" ht="15" hidden="false" customHeight="false" outlineLevel="0" collapsed="false">
      <c r="A218" s="2" t="s">
        <v>1592</v>
      </c>
      <c r="B218" s="2" t="s">
        <v>1593</v>
      </c>
      <c r="C218" s="2" t="s">
        <v>20</v>
      </c>
      <c r="D218" s="2" t="s">
        <v>1169</v>
      </c>
      <c r="E218" s="2" t="n">
        <v>0</v>
      </c>
      <c r="F218" s="2" t="n">
        <v>1</v>
      </c>
      <c r="G218" s="2" t="s">
        <v>261</v>
      </c>
    </row>
    <row r="219" customFormat="false" ht="15" hidden="false" customHeight="false" outlineLevel="0" collapsed="false">
      <c r="A219" s="2" t="s">
        <v>1594</v>
      </c>
      <c r="B219" s="2" t="s">
        <v>1595</v>
      </c>
      <c r="C219" s="2" t="s">
        <v>299</v>
      </c>
      <c r="D219" s="2" t="s">
        <v>1169</v>
      </c>
      <c r="E219" s="2" t="n">
        <v>0</v>
      </c>
      <c r="F219" s="2" t="n">
        <v>1</v>
      </c>
      <c r="G219" s="2" t="s">
        <v>261</v>
      </c>
    </row>
    <row r="220" customFormat="false" ht="15" hidden="false" customHeight="false" outlineLevel="0" collapsed="false">
      <c r="A220" s="2" t="s">
        <v>1596</v>
      </c>
      <c r="B220" s="2" t="s">
        <v>1597</v>
      </c>
      <c r="C220" s="2" t="s">
        <v>202</v>
      </c>
      <c r="D220" s="2" t="s">
        <v>1169</v>
      </c>
      <c r="E220" s="2" t="n">
        <v>0</v>
      </c>
      <c r="F220" s="2" t="n">
        <v>1</v>
      </c>
      <c r="G220" s="2" t="s">
        <v>32</v>
      </c>
    </row>
    <row r="221" customFormat="false" ht="15" hidden="false" customHeight="false" outlineLevel="0" collapsed="false">
      <c r="A221" s="2" t="s">
        <v>1598</v>
      </c>
      <c r="B221" s="2" t="s">
        <v>1599</v>
      </c>
      <c r="C221" s="2" t="s">
        <v>20</v>
      </c>
      <c r="D221" s="2" t="s">
        <v>1206</v>
      </c>
      <c r="E221" s="2" t="n">
        <v>1</v>
      </c>
      <c r="F221" s="2" t="n">
        <v>2</v>
      </c>
      <c r="G221" s="2" t="s">
        <v>261</v>
      </c>
    </row>
    <row r="222" customFormat="false" ht="15" hidden="false" customHeight="false" outlineLevel="0" collapsed="false">
      <c r="A222" s="2" t="s">
        <v>1600</v>
      </c>
      <c r="B222" s="2" t="s">
        <v>1601</v>
      </c>
      <c r="C222" s="2" t="s">
        <v>35</v>
      </c>
      <c r="D222" s="2" t="s">
        <v>1169</v>
      </c>
      <c r="E222" s="2" t="n">
        <v>0</v>
      </c>
      <c r="F222" s="2" t="n">
        <v>1</v>
      </c>
      <c r="G222" s="2" t="s">
        <v>32</v>
      </c>
    </row>
    <row r="223" customFormat="false" ht="15" hidden="false" customHeight="false" outlineLevel="0" collapsed="false">
      <c r="A223" s="2" t="s">
        <v>1602</v>
      </c>
      <c r="B223" s="2" t="s">
        <v>1603</v>
      </c>
      <c r="C223" s="2" t="s">
        <v>1604</v>
      </c>
      <c r="D223" s="2" t="s">
        <v>1169</v>
      </c>
      <c r="E223" s="2" t="n">
        <v>0</v>
      </c>
      <c r="F223" s="2" t="n">
        <v>1</v>
      </c>
      <c r="G223" s="2" t="s">
        <v>32</v>
      </c>
    </row>
    <row r="224" customFormat="false" ht="15" hidden="false" customHeight="false" outlineLevel="0" collapsed="false">
      <c r="A224" s="2" t="s">
        <v>1605</v>
      </c>
      <c r="B224" s="2" t="s">
        <v>1606</v>
      </c>
      <c r="C224" s="2" t="s">
        <v>299</v>
      </c>
      <c r="D224" s="2" t="s">
        <v>1169</v>
      </c>
      <c r="E224" s="2" t="n">
        <v>0</v>
      </c>
      <c r="F224" s="2" t="n">
        <v>1</v>
      </c>
      <c r="G224" s="2" t="s">
        <v>261</v>
      </c>
    </row>
    <row r="225" customFormat="false" ht="15" hidden="false" customHeight="false" outlineLevel="0" collapsed="false">
      <c r="A225" s="2" t="s">
        <v>1607</v>
      </c>
      <c r="B225" s="2" t="s">
        <v>1608</v>
      </c>
      <c r="C225" s="2" t="s">
        <v>73</v>
      </c>
      <c r="D225" s="2" t="s">
        <v>1609</v>
      </c>
      <c r="E225" s="2" t="n">
        <v>0</v>
      </c>
      <c r="F225" s="2" t="n">
        <v>0</v>
      </c>
      <c r="G225" s="2"/>
    </row>
    <row r="226" customFormat="false" ht="15" hidden="false" customHeight="false" outlineLevel="0" collapsed="false">
      <c r="A226" s="2" t="s">
        <v>1610</v>
      </c>
      <c r="B226" s="2" t="s">
        <v>1130</v>
      </c>
      <c r="C226" s="2" t="s">
        <v>1131</v>
      </c>
      <c r="D226" s="2" t="s">
        <v>1206</v>
      </c>
      <c r="E226" s="2" t="n">
        <v>1</v>
      </c>
      <c r="F226" s="2" t="n">
        <v>0</v>
      </c>
      <c r="G226" s="2"/>
    </row>
    <row r="227" customFormat="false" ht="15" hidden="false" customHeight="false" outlineLevel="0" collapsed="false">
      <c r="A227" s="2" t="s">
        <v>1611</v>
      </c>
      <c r="B227" s="2" t="s">
        <v>1612</v>
      </c>
      <c r="C227" s="2" t="s">
        <v>623</v>
      </c>
      <c r="D227" s="2" t="s">
        <v>1169</v>
      </c>
      <c r="E227" s="2" t="n">
        <v>0</v>
      </c>
      <c r="F227" s="2" t="n">
        <v>1</v>
      </c>
      <c r="G227" s="2" t="s">
        <v>32</v>
      </c>
    </row>
    <row r="228" customFormat="false" ht="15" hidden="false" customHeight="false" outlineLevel="0" collapsed="false">
      <c r="A228" s="2" t="s">
        <v>1613</v>
      </c>
      <c r="B228" s="2" t="s">
        <v>1614</v>
      </c>
      <c r="C228" s="2" t="s">
        <v>427</v>
      </c>
      <c r="D228" s="2" t="s">
        <v>1169</v>
      </c>
      <c r="E228" s="2" t="n">
        <v>0</v>
      </c>
      <c r="F228" s="2" t="n">
        <v>1</v>
      </c>
      <c r="G228" s="2" t="s">
        <v>32</v>
      </c>
    </row>
    <row r="229" customFormat="false" ht="15" hidden="false" customHeight="false" outlineLevel="0" collapsed="false">
      <c r="A229" s="2" t="s">
        <v>1615</v>
      </c>
      <c r="B229" s="2" t="s">
        <v>1616</v>
      </c>
      <c r="C229" s="2" t="s">
        <v>35</v>
      </c>
      <c r="D229" s="2" t="s">
        <v>1169</v>
      </c>
      <c r="E229" s="2" t="n">
        <v>0</v>
      </c>
      <c r="F229" s="2" t="n">
        <v>1</v>
      </c>
      <c r="G229" s="2" t="s">
        <v>261</v>
      </c>
    </row>
    <row r="230" customFormat="false" ht="15" hidden="false" customHeight="false" outlineLevel="0" collapsed="false">
      <c r="A230" s="2" t="s">
        <v>1617</v>
      </c>
      <c r="B230" s="2" t="s">
        <v>1618</v>
      </c>
      <c r="C230" s="2" t="s">
        <v>570</v>
      </c>
      <c r="D230" s="2" t="s">
        <v>1169</v>
      </c>
      <c r="E230" s="2" t="n">
        <v>0</v>
      </c>
      <c r="F230" s="2" t="n">
        <v>1</v>
      </c>
      <c r="G230" s="2" t="s">
        <v>32</v>
      </c>
    </row>
    <row r="231" customFormat="false" ht="15" hidden="false" customHeight="false" outlineLevel="0" collapsed="false">
      <c r="A231" s="2" t="s">
        <v>1619</v>
      </c>
      <c r="B231" s="2" t="s">
        <v>1620</v>
      </c>
      <c r="C231" s="2" t="s">
        <v>1050</v>
      </c>
      <c r="D231" s="2" t="s">
        <v>1169</v>
      </c>
      <c r="E231" s="2" t="n">
        <v>0</v>
      </c>
      <c r="F231" s="2" t="n">
        <v>1</v>
      </c>
      <c r="G231" s="2" t="s">
        <v>261</v>
      </c>
    </row>
    <row r="232" customFormat="false" ht="15" hidden="false" customHeight="false" outlineLevel="0" collapsed="false">
      <c r="A232" s="2" t="s">
        <v>1621</v>
      </c>
      <c r="B232" s="2" t="s">
        <v>1622</v>
      </c>
      <c r="C232" s="2" t="s">
        <v>299</v>
      </c>
      <c r="D232" s="2" t="s">
        <v>1169</v>
      </c>
      <c r="E232" s="2" t="n">
        <v>0</v>
      </c>
      <c r="F232" s="2" t="n">
        <v>1</v>
      </c>
      <c r="G232" s="2" t="s">
        <v>261</v>
      </c>
    </row>
    <row r="233" customFormat="false" ht="15" hidden="false" customHeight="false" outlineLevel="0" collapsed="false">
      <c r="A233" s="2" t="s">
        <v>1623</v>
      </c>
      <c r="B233" s="2" t="s">
        <v>1624</v>
      </c>
      <c r="C233" s="2" t="s">
        <v>299</v>
      </c>
      <c r="D233" s="2" t="s">
        <v>1169</v>
      </c>
      <c r="E233" s="2" t="n">
        <v>0</v>
      </c>
      <c r="F233" s="2" t="n">
        <v>1</v>
      </c>
      <c r="G233" s="2" t="s">
        <v>32</v>
      </c>
    </row>
    <row r="234" customFormat="false" ht="15" hidden="false" customHeight="false" outlineLevel="0" collapsed="false">
      <c r="A234" s="2" t="s">
        <v>1625</v>
      </c>
      <c r="B234" s="2" t="s">
        <v>1004</v>
      </c>
      <c r="C234" s="2" t="s">
        <v>52</v>
      </c>
      <c r="D234" s="2" t="s">
        <v>1206</v>
      </c>
      <c r="E234" s="2" t="n">
        <v>1</v>
      </c>
      <c r="F234" s="2" t="n">
        <v>0</v>
      </c>
      <c r="G234" s="2"/>
    </row>
    <row r="235" customFormat="false" ht="15" hidden="false" customHeight="false" outlineLevel="0" collapsed="false">
      <c r="A235" s="2" t="s">
        <v>1626</v>
      </c>
      <c r="B235" s="2" t="s">
        <v>1627</v>
      </c>
      <c r="C235" s="2" t="s">
        <v>20</v>
      </c>
      <c r="D235" s="2" t="s">
        <v>1169</v>
      </c>
      <c r="E235" s="2" t="n">
        <v>0</v>
      </c>
      <c r="F235" s="2" t="n">
        <v>1</v>
      </c>
      <c r="G235" s="2" t="s">
        <v>261</v>
      </c>
    </row>
    <row r="236" customFormat="false" ht="15" hidden="false" customHeight="false" outlineLevel="0" collapsed="false">
      <c r="A236" s="2" t="s">
        <v>1628</v>
      </c>
      <c r="B236" s="2" t="s">
        <v>1629</v>
      </c>
      <c r="C236" s="2" t="s">
        <v>1050</v>
      </c>
      <c r="D236" s="2" t="s">
        <v>1169</v>
      </c>
      <c r="E236" s="2" t="n">
        <v>0</v>
      </c>
      <c r="F236" s="2" t="n">
        <v>1</v>
      </c>
      <c r="G236" s="2" t="s">
        <v>261</v>
      </c>
    </row>
    <row r="237" customFormat="false" ht="15" hidden="false" customHeight="false" outlineLevel="0" collapsed="false">
      <c r="A237" s="2" t="s">
        <v>1630</v>
      </c>
      <c r="B237" s="2" t="s">
        <v>1631</v>
      </c>
      <c r="C237" s="2" t="s">
        <v>1632</v>
      </c>
      <c r="D237" s="2" t="s">
        <v>1169</v>
      </c>
      <c r="E237" s="2" t="n">
        <v>0</v>
      </c>
      <c r="F237" s="2" t="n">
        <v>1</v>
      </c>
      <c r="G237" s="2" t="s">
        <v>32</v>
      </c>
    </row>
    <row r="238" customFormat="false" ht="15" hidden="false" customHeight="false" outlineLevel="0" collapsed="false">
      <c r="A238" s="2" t="s">
        <v>1633</v>
      </c>
      <c r="B238" s="2" t="s">
        <v>1634</v>
      </c>
      <c r="C238" s="2" t="s">
        <v>20</v>
      </c>
      <c r="D238" s="2" t="s">
        <v>1169</v>
      </c>
      <c r="E238" s="2" t="n">
        <v>0</v>
      </c>
      <c r="F238" s="2" t="n">
        <v>1</v>
      </c>
      <c r="G238" s="2" t="s">
        <v>261</v>
      </c>
    </row>
    <row r="239" customFormat="false" ht="15" hidden="false" customHeight="false" outlineLevel="0" collapsed="false">
      <c r="A239" s="2" t="s">
        <v>1635</v>
      </c>
      <c r="B239" s="2" t="s">
        <v>1636</v>
      </c>
      <c r="C239" s="2" t="s">
        <v>20</v>
      </c>
      <c r="D239" s="2" t="s">
        <v>1169</v>
      </c>
      <c r="E239" s="2" t="n">
        <v>0</v>
      </c>
      <c r="F239" s="2" t="n">
        <v>1</v>
      </c>
      <c r="G239" s="2" t="s">
        <v>261</v>
      </c>
    </row>
    <row r="240" customFormat="false" ht="15" hidden="false" customHeight="false" outlineLevel="0" collapsed="false">
      <c r="A240" s="2" t="s">
        <v>1637</v>
      </c>
      <c r="B240" s="2" t="s">
        <v>1638</v>
      </c>
      <c r="C240" s="2" t="s">
        <v>20</v>
      </c>
      <c r="D240" s="2" t="s">
        <v>1169</v>
      </c>
      <c r="E240" s="2" t="n">
        <v>0</v>
      </c>
      <c r="F240" s="2" t="n">
        <v>1</v>
      </c>
      <c r="G240" s="2" t="s">
        <v>261</v>
      </c>
    </row>
    <row r="241" customFormat="false" ht="15" hidden="false" customHeight="false" outlineLevel="0" collapsed="false">
      <c r="A241" s="2" t="s">
        <v>1639</v>
      </c>
      <c r="B241" s="2" t="s">
        <v>1640</v>
      </c>
      <c r="C241" s="2" t="s">
        <v>20</v>
      </c>
      <c r="D241" s="2" t="s">
        <v>1169</v>
      </c>
      <c r="E241" s="2" t="n">
        <v>0</v>
      </c>
      <c r="F241" s="2" t="n">
        <v>1</v>
      </c>
      <c r="G241" s="2" t="s">
        <v>261</v>
      </c>
    </row>
    <row r="242" customFormat="false" ht="15" hidden="false" customHeight="false" outlineLevel="0" collapsed="false">
      <c r="A242" s="2" t="s">
        <v>1641</v>
      </c>
      <c r="B242" s="2" t="s">
        <v>1642</v>
      </c>
      <c r="C242" s="2" t="s">
        <v>20</v>
      </c>
      <c r="D242" s="2" t="s">
        <v>1169</v>
      </c>
      <c r="E242" s="2" t="n">
        <v>0</v>
      </c>
      <c r="F242" s="2" t="n">
        <v>1</v>
      </c>
      <c r="G242" s="2" t="s">
        <v>261</v>
      </c>
    </row>
    <row r="243" customFormat="false" ht="15" hidden="false" customHeight="false" outlineLevel="0" collapsed="false">
      <c r="A243" s="2" t="s">
        <v>1643</v>
      </c>
      <c r="B243" s="2" t="s">
        <v>1644</v>
      </c>
      <c r="C243" s="2" t="s">
        <v>20</v>
      </c>
      <c r="D243" s="2" t="s">
        <v>1169</v>
      </c>
      <c r="E243" s="2" t="n">
        <v>0</v>
      </c>
      <c r="F243" s="2" t="n">
        <v>1</v>
      </c>
      <c r="G243" s="2" t="s">
        <v>261</v>
      </c>
    </row>
    <row r="244" customFormat="false" ht="15" hidden="false" customHeight="false" outlineLevel="0" collapsed="false">
      <c r="A244" s="2" t="s">
        <v>1645</v>
      </c>
      <c r="B244" s="2" t="s">
        <v>1646</v>
      </c>
      <c r="C244" s="2" t="s">
        <v>20</v>
      </c>
      <c r="D244" s="2" t="s">
        <v>1169</v>
      </c>
      <c r="E244" s="2" t="n">
        <v>0</v>
      </c>
      <c r="F244" s="2" t="n">
        <v>1</v>
      </c>
      <c r="G244" s="2" t="s">
        <v>261</v>
      </c>
    </row>
    <row r="245" customFormat="false" ht="15" hidden="false" customHeight="false" outlineLevel="0" collapsed="false">
      <c r="A245" s="2" t="s">
        <v>1647</v>
      </c>
      <c r="B245" s="2" t="s">
        <v>1648</v>
      </c>
      <c r="C245" s="2" t="s">
        <v>20</v>
      </c>
      <c r="D245" s="2" t="s">
        <v>1169</v>
      </c>
      <c r="E245" s="2" t="n">
        <v>0</v>
      </c>
      <c r="F245" s="2" t="n">
        <v>1</v>
      </c>
      <c r="G245" s="2" t="s">
        <v>32</v>
      </c>
    </row>
    <row r="246" customFormat="false" ht="15" hidden="false" customHeight="false" outlineLevel="0" collapsed="false">
      <c r="A246" s="2" t="s">
        <v>1649</v>
      </c>
      <c r="B246" s="2" t="s">
        <v>1650</v>
      </c>
      <c r="C246" s="2" t="s">
        <v>20</v>
      </c>
      <c r="D246" s="2" t="s">
        <v>1169</v>
      </c>
      <c r="E246" s="2" t="n">
        <v>0</v>
      </c>
      <c r="F246" s="2" t="n">
        <v>1</v>
      </c>
      <c r="G246" s="2" t="s">
        <v>261</v>
      </c>
    </row>
    <row r="247" customFormat="false" ht="15" hidden="false" customHeight="false" outlineLevel="0" collapsed="false">
      <c r="A247" s="2" t="s">
        <v>1651</v>
      </c>
      <c r="B247" s="2" t="s">
        <v>1652</v>
      </c>
      <c r="C247" s="2" t="s">
        <v>20</v>
      </c>
      <c r="D247" s="2" t="s">
        <v>1169</v>
      </c>
      <c r="E247" s="2" t="n">
        <v>0</v>
      </c>
      <c r="F247" s="2" t="n">
        <v>1</v>
      </c>
      <c r="G247" s="2" t="s">
        <v>261</v>
      </c>
    </row>
    <row r="248" customFormat="false" ht="15" hidden="false" customHeight="false" outlineLevel="0" collapsed="false">
      <c r="A248" s="2" t="s">
        <v>1653</v>
      </c>
      <c r="B248" s="2" t="s">
        <v>1654</v>
      </c>
      <c r="C248" s="2" t="s">
        <v>20</v>
      </c>
      <c r="D248" s="2" t="s">
        <v>1169</v>
      </c>
      <c r="E248" s="2" t="n">
        <v>0</v>
      </c>
      <c r="F248" s="2" t="n">
        <v>1</v>
      </c>
      <c r="G248" s="2" t="s">
        <v>261</v>
      </c>
    </row>
    <row r="249" customFormat="false" ht="15" hidden="false" customHeight="false" outlineLevel="0" collapsed="false">
      <c r="A249" s="2" t="s">
        <v>1655</v>
      </c>
      <c r="B249" s="2" t="s">
        <v>1656</v>
      </c>
      <c r="C249" s="2" t="s">
        <v>20</v>
      </c>
      <c r="D249" s="2" t="s">
        <v>1169</v>
      </c>
      <c r="E249" s="2" t="n">
        <v>0</v>
      </c>
      <c r="F249" s="2" t="n">
        <v>1</v>
      </c>
      <c r="G249" s="2" t="s">
        <v>261</v>
      </c>
    </row>
    <row r="250" customFormat="false" ht="15" hidden="false" customHeight="false" outlineLevel="0" collapsed="false">
      <c r="A250" s="2" t="s">
        <v>1657</v>
      </c>
      <c r="B250" s="2" t="s">
        <v>1658</v>
      </c>
      <c r="C250" s="2" t="s">
        <v>20</v>
      </c>
      <c r="D250" s="2" t="s">
        <v>1169</v>
      </c>
      <c r="E250" s="2" t="n">
        <v>0</v>
      </c>
      <c r="F250" s="2" t="n">
        <v>1</v>
      </c>
      <c r="G250" s="2" t="s">
        <v>261</v>
      </c>
    </row>
    <row r="251" customFormat="false" ht="15" hidden="false" customHeight="false" outlineLevel="0" collapsed="false">
      <c r="A251" s="2" t="s">
        <v>1659</v>
      </c>
      <c r="B251" s="2" t="s">
        <v>1660</v>
      </c>
      <c r="C251" s="2" t="s">
        <v>20</v>
      </c>
      <c r="D251" s="2" t="s">
        <v>1169</v>
      </c>
      <c r="E251" s="2" t="n">
        <v>0</v>
      </c>
      <c r="F251" s="2" t="n">
        <v>1</v>
      </c>
      <c r="G251" s="2" t="s">
        <v>261</v>
      </c>
    </row>
    <row r="252" customFormat="false" ht="15" hidden="false" customHeight="false" outlineLevel="0" collapsed="false">
      <c r="A252" s="2" t="s">
        <v>1661</v>
      </c>
      <c r="B252" s="2" t="s">
        <v>1662</v>
      </c>
      <c r="C252" s="2" t="s">
        <v>20</v>
      </c>
      <c r="D252" s="2" t="s">
        <v>1169</v>
      </c>
      <c r="E252" s="2" t="n">
        <v>0</v>
      </c>
      <c r="F252" s="2" t="n">
        <v>1</v>
      </c>
      <c r="G252" s="2" t="s">
        <v>261</v>
      </c>
    </row>
    <row r="253" customFormat="false" ht="15" hidden="false" customHeight="false" outlineLevel="0" collapsed="false">
      <c r="A253" s="2" t="s">
        <v>1663</v>
      </c>
      <c r="B253" s="2" t="s">
        <v>1664</v>
      </c>
      <c r="C253" s="2" t="s">
        <v>20</v>
      </c>
      <c r="D253" s="2" t="s">
        <v>1169</v>
      </c>
      <c r="E253" s="2" t="n">
        <v>0</v>
      </c>
      <c r="F253" s="2" t="n">
        <v>1</v>
      </c>
      <c r="G253" s="2" t="s">
        <v>261</v>
      </c>
    </row>
    <row r="254" customFormat="false" ht="15" hidden="false" customHeight="false" outlineLevel="0" collapsed="false">
      <c r="A254" s="2" t="s">
        <v>1665</v>
      </c>
      <c r="B254" s="2" t="s">
        <v>1666</v>
      </c>
      <c r="C254" s="2" t="s">
        <v>20</v>
      </c>
      <c r="D254" s="2" t="s">
        <v>1169</v>
      </c>
      <c r="E254" s="2" t="n">
        <v>0</v>
      </c>
      <c r="F254" s="2" t="n">
        <v>1</v>
      </c>
      <c r="G254" s="2" t="s">
        <v>261</v>
      </c>
    </row>
    <row r="255" customFormat="false" ht="15" hidden="false" customHeight="false" outlineLevel="0" collapsed="false">
      <c r="A255" s="2" t="s">
        <v>1667</v>
      </c>
      <c r="B255" s="2" t="s">
        <v>1668</v>
      </c>
      <c r="C255" s="2" t="s">
        <v>20</v>
      </c>
      <c r="D255" s="2" t="s">
        <v>1169</v>
      </c>
      <c r="E255" s="2" t="n">
        <v>0</v>
      </c>
      <c r="F255" s="2" t="n">
        <v>1</v>
      </c>
      <c r="G255" s="2" t="s">
        <v>261</v>
      </c>
    </row>
    <row r="256" customFormat="false" ht="15" hidden="false" customHeight="false" outlineLevel="0" collapsed="false">
      <c r="A256" s="2" t="s">
        <v>1669</v>
      </c>
      <c r="B256" s="2" t="s">
        <v>1670</v>
      </c>
      <c r="C256" s="2" t="s">
        <v>20</v>
      </c>
      <c r="D256" s="2" t="s">
        <v>1169</v>
      </c>
      <c r="E256" s="2" t="n">
        <v>0</v>
      </c>
      <c r="F256" s="2" t="n">
        <v>1</v>
      </c>
      <c r="G256" s="2" t="s">
        <v>261</v>
      </c>
    </row>
    <row r="257" customFormat="false" ht="15" hidden="false" customHeight="false" outlineLevel="0" collapsed="false">
      <c r="A257" s="2" t="s">
        <v>1671</v>
      </c>
      <c r="B257" s="2" t="s">
        <v>1672</v>
      </c>
      <c r="C257" s="2" t="s">
        <v>20</v>
      </c>
      <c r="D257" s="2" t="s">
        <v>1169</v>
      </c>
      <c r="E257" s="2" t="n">
        <v>0</v>
      </c>
      <c r="F257" s="2" t="n">
        <v>1</v>
      </c>
      <c r="G257" s="2" t="s">
        <v>261</v>
      </c>
    </row>
    <row r="258" customFormat="false" ht="15" hidden="false" customHeight="false" outlineLevel="0" collapsed="false">
      <c r="A258" s="2" t="s">
        <v>1673</v>
      </c>
      <c r="B258" s="2" t="s">
        <v>1674</v>
      </c>
      <c r="C258" s="2" t="s">
        <v>20</v>
      </c>
      <c r="D258" s="2" t="s">
        <v>1169</v>
      </c>
      <c r="E258" s="2" t="n">
        <v>0</v>
      </c>
      <c r="F258" s="2" t="n">
        <v>1</v>
      </c>
      <c r="G258" s="2" t="s">
        <v>261</v>
      </c>
    </row>
    <row r="259" customFormat="false" ht="15" hidden="false" customHeight="false" outlineLevel="0" collapsed="false">
      <c r="A259" s="2" t="s">
        <v>1675</v>
      </c>
      <c r="B259" s="2" t="s">
        <v>1676</v>
      </c>
      <c r="C259" s="2" t="s">
        <v>20</v>
      </c>
      <c r="D259" s="2" t="s">
        <v>1169</v>
      </c>
      <c r="E259" s="2" t="n">
        <v>0</v>
      </c>
      <c r="F259" s="2" t="n">
        <v>1</v>
      </c>
      <c r="G259" s="2" t="s">
        <v>261</v>
      </c>
    </row>
    <row r="260" customFormat="false" ht="15" hidden="false" customHeight="false" outlineLevel="0" collapsed="false">
      <c r="A260" s="2" t="s">
        <v>1677</v>
      </c>
      <c r="B260" s="2" t="s">
        <v>1678</v>
      </c>
      <c r="C260" s="2" t="s">
        <v>20</v>
      </c>
      <c r="D260" s="2" t="s">
        <v>1169</v>
      </c>
      <c r="E260" s="2" t="n">
        <v>0</v>
      </c>
      <c r="F260" s="2" t="n">
        <v>1</v>
      </c>
      <c r="G260" s="2" t="s">
        <v>261</v>
      </c>
    </row>
    <row r="261" customFormat="false" ht="15" hidden="false" customHeight="false" outlineLevel="0" collapsed="false">
      <c r="A261" s="2" t="s">
        <v>1679</v>
      </c>
      <c r="B261" s="2" t="s">
        <v>1680</v>
      </c>
      <c r="C261" s="2" t="s">
        <v>20</v>
      </c>
      <c r="D261" s="2" t="s">
        <v>1169</v>
      </c>
      <c r="E261" s="2" t="n">
        <v>0</v>
      </c>
      <c r="F261" s="2" t="n">
        <v>1</v>
      </c>
      <c r="G261" s="2" t="s">
        <v>261</v>
      </c>
    </row>
    <row r="262" customFormat="false" ht="15" hidden="false" customHeight="false" outlineLevel="0" collapsed="false">
      <c r="A262" s="2" t="s">
        <v>1681</v>
      </c>
      <c r="B262" s="2" t="s">
        <v>1682</v>
      </c>
      <c r="C262" s="2" t="s">
        <v>20</v>
      </c>
      <c r="D262" s="2" t="s">
        <v>1206</v>
      </c>
      <c r="E262" s="2" t="n">
        <v>1</v>
      </c>
      <c r="F262" s="2" t="n">
        <v>0</v>
      </c>
      <c r="G262" s="2"/>
    </row>
    <row r="263" customFormat="false" ht="15" hidden="false" customHeight="false" outlineLevel="0" collapsed="false">
      <c r="A263" s="2" t="s">
        <v>1683</v>
      </c>
      <c r="B263" s="2" t="s">
        <v>1684</v>
      </c>
      <c r="C263" s="2" t="s">
        <v>20</v>
      </c>
      <c r="D263" s="2" t="s">
        <v>1169</v>
      </c>
      <c r="E263" s="2" t="n">
        <v>0</v>
      </c>
      <c r="F263" s="2" t="n">
        <v>1</v>
      </c>
      <c r="G263" s="2" t="s">
        <v>261</v>
      </c>
    </row>
    <row r="264" customFormat="false" ht="15" hidden="false" customHeight="false" outlineLevel="0" collapsed="false">
      <c r="A264" s="2" t="s">
        <v>1685</v>
      </c>
      <c r="B264" s="2" t="s">
        <v>1686</v>
      </c>
      <c r="C264" s="2" t="s">
        <v>20</v>
      </c>
      <c r="D264" s="2" t="s">
        <v>1169</v>
      </c>
      <c r="E264" s="2" t="n">
        <v>0</v>
      </c>
      <c r="F264" s="2" t="n">
        <v>1</v>
      </c>
      <c r="G264" s="2" t="s">
        <v>261</v>
      </c>
    </row>
    <row r="265" customFormat="false" ht="15" hidden="false" customHeight="false" outlineLevel="0" collapsed="false">
      <c r="A265" s="2" t="s">
        <v>1687</v>
      </c>
      <c r="B265" s="2" t="s">
        <v>1688</v>
      </c>
      <c r="C265" s="2" t="s">
        <v>20</v>
      </c>
      <c r="D265" s="2" t="s">
        <v>1169</v>
      </c>
      <c r="E265" s="2" t="n">
        <v>0</v>
      </c>
      <c r="F265" s="2" t="n">
        <v>1</v>
      </c>
      <c r="G265" s="2" t="s">
        <v>261</v>
      </c>
    </row>
    <row r="266" customFormat="false" ht="15" hidden="false" customHeight="false" outlineLevel="0" collapsed="false">
      <c r="A266" s="2" t="s">
        <v>1689</v>
      </c>
      <c r="B266" s="2" t="s">
        <v>1690</v>
      </c>
      <c r="C266" s="2" t="s">
        <v>20</v>
      </c>
      <c r="D266" s="2" t="s">
        <v>1169</v>
      </c>
      <c r="E266" s="2" t="n">
        <v>0</v>
      </c>
      <c r="F266" s="2" t="n">
        <v>1</v>
      </c>
      <c r="G266" s="2" t="s">
        <v>261</v>
      </c>
    </row>
    <row r="267" customFormat="false" ht="15" hidden="false" customHeight="false" outlineLevel="0" collapsed="false">
      <c r="A267" s="2" t="s">
        <v>1691</v>
      </c>
      <c r="B267" s="2" t="s">
        <v>1692</v>
      </c>
      <c r="C267" s="2" t="s">
        <v>20</v>
      </c>
      <c r="D267" s="2" t="s">
        <v>1169</v>
      </c>
      <c r="E267" s="2" t="n">
        <v>0</v>
      </c>
      <c r="F267" s="2" t="n">
        <v>1</v>
      </c>
      <c r="G267" s="2" t="s">
        <v>261</v>
      </c>
    </row>
    <row r="268" customFormat="false" ht="15" hidden="false" customHeight="false" outlineLevel="0" collapsed="false">
      <c r="A268" s="2" t="s">
        <v>1693</v>
      </c>
      <c r="B268" s="2" t="s">
        <v>1694</v>
      </c>
      <c r="C268" s="2" t="s">
        <v>20</v>
      </c>
      <c r="D268" s="2" t="s">
        <v>1169</v>
      </c>
      <c r="E268" s="2" t="n">
        <v>0</v>
      </c>
      <c r="F268" s="2" t="n">
        <v>1</v>
      </c>
      <c r="G268" s="2" t="s">
        <v>261</v>
      </c>
    </row>
    <row r="269" customFormat="false" ht="15" hidden="false" customHeight="false" outlineLevel="0" collapsed="false">
      <c r="A269" s="2" t="s">
        <v>1695</v>
      </c>
      <c r="B269" s="2" t="s">
        <v>1696</v>
      </c>
      <c r="C269" s="2" t="s">
        <v>20</v>
      </c>
      <c r="D269" s="2" t="s">
        <v>1169</v>
      </c>
      <c r="E269" s="2" t="n">
        <v>0</v>
      </c>
      <c r="F269" s="2" t="n">
        <v>1</v>
      </c>
      <c r="G269" s="2" t="s">
        <v>261</v>
      </c>
    </row>
    <row r="270" customFormat="false" ht="15" hidden="false" customHeight="false" outlineLevel="0" collapsed="false">
      <c r="A270" s="2" t="s">
        <v>1697</v>
      </c>
      <c r="B270" s="2" t="s">
        <v>1698</v>
      </c>
      <c r="C270" s="2" t="s">
        <v>20</v>
      </c>
      <c r="D270" s="2" t="s">
        <v>1169</v>
      </c>
      <c r="E270" s="2" t="n">
        <v>0</v>
      </c>
      <c r="F270" s="2" t="n">
        <v>1</v>
      </c>
      <c r="G270" s="2" t="s">
        <v>261</v>
      </c>
    </row>
    <row r="271" customFormat="false" ht="15" hidden="false" customHeight="false" outlineLevel="0" collapsed="false">
      <c r="A271" s="2" t="s">
        <v>1699</v>
      </c>
      <c r="B271" s="2" t="s">
        <v>1700</v>
      </c>
      <c r="C271" s="2" t="s">
        <v>20</v>
      </c>
      <c r="D271" s="2" t="s">
        <v>1169</v>
      </c>
      <c r="E271" s="2" t="n">
        <v>0</v>
      </c>
      <c r="F271" s="2" t="n">
        <v>1</v>
      </c>
      <c r="G271" s="2" t="s">
        <v>261</v>
      </c>
    </row>
    <row r="272" customFormat="false" ht="15" hidden="false" customHeight="false" outlineLevel="0" collapsed="false">
      <c r="A272" s="2" t="s">
        <v>1701</v>
      </c>
      <c r="B272" s="2" t="s">
        <v>1702</v>
      </c>
      <c r="C272" s="2" t="s">
        <v>20</v>
      </c>
      <c r="D272" s="2" t="s">
        <v>1169</v>
      </c>
      <c r="E272" s="2" t="n">
        <v>0</v>
      </c>
      <c r="F272" s="2" t="n">
        <v>1</v>
      </c>
      <c r="G272" s="2" t="s">
        <v>261</v>
      </c>
    </row>
    <row r="273" customFormat="false" ht="15" hidden="false" customHeight="false" outlineLevel="0" collapsed="false">
      <c r="A273" s="2" t="s">
        <v>1703</v>
      </c>
      <c r="B273" s="2" t="s">
        <v>1704</v>
      </c>
      <c r="C273" s="2" t="s">
        <v>20</v>
      </c>
      <c r="D273" s="2" t="s">
        <v>1169</v>
      </c>
      <c r="E273" s="2" t="n">
        <v>0</v>
      </c>
      <c r="F273" s="2" t="n">
        <v>1</v>
      </c>
      <c r="G273" s="2" t="s">
        <v>261</v>
      </c>
    </row>
    <row r="274" customFormat="false" ht="15" hidden="false" customHeight="false" outlineLevel="0" collapsed="false">
      <c r="A274" s="2" t="s">
        <v>1705</v>
      </c>
      <c r="B274" s="2" t="s">
        <v>1706</v>
      </c>
      <c r="C274" s="2" t="s">
        <v>20</v>
      </c>
      <c r="D274" s="2" t="s">
        <v>1169</v>
      </c>
      <c r="E274" s="2" t="n">
        <v>0</v>
      </c>
      <c r="F274" s="2" t="n">
        <v>1</v>
      </c>
      <c r="G274" s="2" t="s">
        <v>261</v>
      </c>
    </row>
    <row r="275" customFormat="false" ht="15" hidden="false" customHeight="false" outlineLevel="0" collapsed="false">
      <c r="A275" s="2" t="s">
        <v>1707</v>
      </c>
      <c r="B275" s="2" t="s">
        <v>1708</v>
      </c>
      <c r="C275" s="2" t="s">
        <v>20</v>
      </c>
      <c r="D275" s="2" t="s">
        <v>1169</v>
      </c>
      <c r="E275" s="2" t="n">
        <v>0</v>
      </c>
      <c r="F275" s="2" t="n">
        <v>1</v>
      </c>
      <c r="G275" s="2" t="s">
        <v>261</v>
      </c>
    </row>
    <row r="276" customFormat="false" ht="15" hidden="false" customHeight="false" outlineLevel="0" collapsed="false">
      <c r="A276" s="2" t="s">
        <v>1709</v>
      </c>
      <c r="B276" s="2" t="s">
        <v>1710</v>
      </c>
      <c r="C276" s="2" t="s">
        <v>20</v>
      </c>
      <c r="D276" s="2" t="s">
        <v>1169</v>
      </c>
      <c r="E276" s="2" t="n">
        <v>0</v>
      </c>
      <c r="F276" s="2" t="n">
        <v>1</v>
      </c>
      <c r="G276" s="2" t="s">
        <v>261</v>
      </c>
    </row>
    <row r="277" customFormat="false" ht="15" hidden="false" customHeight="false" outlineLevel="0" collapsed="false">
      <c r="A277" s="2" t="s">
        <v>1711</v>
      </c>
      <c r="B277" s="2" t="s">
        <v>1712</v>
      </c>
      <c r="C277" s="2" t="s">
        <v>20</v>
      </c>
      <c r="D277" s="2" t="s">
        <v>1169</v>
      </c>
      <c r="E277" s="2" t="n">
        <v>0</v>
      </c>
      <c r="F277" s="2" t="n">
        <v>1</v>
      </c>
      <c r="G277" s="2" t="s">
        <v>261</v>
      </c>
    </row>
    <row r="278" customFormat="false" ht="15" hidden="false" customHeight="false" outlineLevel="0" collapsed="false">
      <c r="A278" s="2" t="s">
        <v>1713</v>
      </c>
      <c r="B278" s="2" t="s">
        <v>1714</v>
      </c>
      <c r="C278" s="2" t="s">
        <v>20</v>
      </c>
      <c r="D278" s="2" t="s">
        <v>1169</v>
      </c>
      <c r="E278" s="2" t="n">
        <v>0</v>
      </c>
      <c r="F278" s="2" t="n">
        <v>1</v>
      </c>
      <c r="G278" s="2" t="s">
        <v>261</v>
      </c>
    </row>
    <row r="279" customFormat="false" ht="15" hidden="false" customHeight="false" outlineLevel="0" collapsed="false">
      <c r="A279" s="2" t="s">
        <v>1715</v>
      </c>
      <c r="B279" s="2" t="s">
        <v>1716</v>
      </c>
      <c r="C279" s="2" t="s">
        <v>20</v>
      </c>
      <c r="D279" s="2" t="s">
        <v>1169</v>
      </c>
      <c r="E279" s="2" t="n">
        <v>0</v>
      </c>
      <c r="F279" s="2" t="n">
        <v>1</v>
      </c>
      <c r="G279" s="2" t="s">
        <v>32</v>
      </c>
    </row>
    <row r="280" customFormat="false" ht="15" hidden="false" customHeight="false" outlineLevel="0" collapsed="false">
      <c r="A280" s="2" t="s">
        <v>1717</v>
      </c>
      <c r="B280" s="2" t="s">
        <v>1718</v>
      </c>
      <c r="C280" s="2" t="s">
        <v>20</v>
      </c>
      <c r="D280" s="2" t="s">
        <v>1169</v>
      </c>
      <c r="E280" s="2" t="n">
        <v>0</v>
      </c>
      <c r="F280" s="2" t="n">
        <v>1</v>
      </c>
      <c r="G280" s="2" t="s">
        <v>261</v>
      </c>
    </row>
    <row r="281" customFormat="false" ht="15" hidden="false" customHeight="false" outlineLevel="0" collapsed="false">
      <c r="A281" s="2" t="s">
        <v>1719</v>
      </c>
      <c r="B281" s="2" t="s">
        <v>1720</v>
      </c>
      <c r="C281" s="2" t="s">
        <v>20</v>
      </c>
      <c r="D281" s="2" t="s">
        <v>1169</v>
      </c>
      <c r="E281" s="2" t="n">
        <v>0</v>
      </c>
      <c r="F281" s="2" t="n">
        <v>1</v>
      </c>
      <c r="G281" s="2" t="s">
        <v>261</v>
      </c>
    </row>
    <row r="282" customFormat="false" ht="15" hidden="false" customHeight="false" outlineLevel="0" collapsed="false">
      <c r="A282" s="2" t="s">
        <v>1721</v>
      </c>
      <c r="B282" s="2" t="s">
        <v>1722</v>
      </c>
      <c r="C282" s="2" t="s">
        <v>20</v>
      </c>
      <c r="D282" s="2" t="s">
        <v>1169</v>
      </c>
      <c r="E282" s="2" t="n">
        <v>0</v>
      </c>
      <c r="F282" s="2" t="n">
        <v>2</v>
      </c>
      <c r="G282" s="2" t="s">
        <v>261</v>
      </c>
    </row>
    <row r="283" customFormat="false" ht="15" hidden="false" customHeight="false" outlineLevel="0" collapsed="false">
      <c r="A283" s="2" t="s">
        <v>1723</v>
      </c>
      <c r="B283" s="2" t="s">
        <v>1724</v>
      </c>
      <c r="C283" s="2" t="s">
        <v>20</v>
      </c>
      <c r="D283" s="2" t="s">
        <v>1169</v>
      </c>
      <c r="E283" s="2" t="n">
        <v>0</v>
      </c>
      <c r="F283" s="2" t="n">
        <v>1</v>
      </c>
      <c r="G283" s="2" t="s">
        <v>261</v>
      </c>
    </row>
    <row r="284" customFormat="false" ht="15" hidden="false" customHeight="false" outlineLevel="0" collapsed="false">
      <c r="A284" s="2" t="s">
        <v>1725</v>
      </c>
      <c r="B284" s="2" t="s">
        <v>1726</v>
      </c>
      <c r="C284" s="2" t="s">
        <v>20</v>
      </c>
      <c r="D284" s="2" t="s">
        <v>1169</v>
      </c>
      <c r="E284" s="2" t="n">
        <v>0</v>
      </c>
      <c r="F284" s="2" t="n">
        <v>1</v>
      </c>
      <c r="G284" s="2" t="s">
        <v>261</v>
      </c>
    </row>
    <row r="285" customFormat="false" ht="15" hidden="false" customHeight="false" outlineLevel="0" collapsed="false">
      <c r="A285" s="2" t="s">
        <v>1727</v>
      </c>
      <c r="B285" s="2" t="s">
        <v>1728</v>
      </c>
      <c r="C285" s="2" t="s">
        <v>20</v>
      </c>
      <c r="D285" s="2" t="s">
        <v>1169</v>
      </c>
      <c r="E285" s="2" t="n">
        <v>0</v>
      </c>
      <c r="F285" s="2" t="n">
        <v>1</v>
      </c>
      <c r="G285" s="2" t="s">
        <v>261</v>
      </c>
    </row>
    <row r="286" customFormat="false" ht="15" hidden="false" customHeight="false" outlineLevel="0" collapsed="false">
      <c r="A286" s="2" t="s">
        <v>1729</v>
      </c>
      <c r="B286" s="2" t="s">
        <v>1730</v>
      </c>
      <c r="C286" s="2" t="s">
        <v>20</v>
      </c>
      <c r="D286" s="2" t="s">
        <v>1169</v>
      </c>
      <c r="E286" s="2" t="n">
        <v>0</v>
      </c>
      <c r="F286" s="2" t="n">
        <v>1</v>
      </c>
      <c r="G286" s="2" t="s">
        <v>261</v>
      </c>
    </row>
    <row r="287" customFormat="false" ht="15" hidden="false" customHeight="false" outlineLevel="0" collapsed="false">
      <c r="A287" s="2" t="s">
        <v>1731</v>
      </c>
      <c r="B287" s="2" t="s">
        <v>1732</v>
      </c>
      <c r="C287" s="2" t="s">
        <v>20</v>
      </c>
      <c r="D287" s="2" t="s">
        <v>1169</v>
      </c>
      <c r="E287" s="2" t="n">
        <v>0</v>
      </c>
      <c r="F287" s="2" t="n">
        <v>1</v>
      </c>
      <c r="G287" s="2" t="s">
        <v>261</v>
      </c>
    </row>
    <row r="288" customFormat="false" ht="15" hidden="false" customHeight="false" outlineLevel="0" collapsed="false">
      <c r="A288" s="2" t="s">
        <v>1733</v>
      </c>
      <c r="B288" s="2" t="s">
        <v>1734</v>
      </c>
      <c r="C288" s="2" t="s">
        <v>20</v>
      </c>
      <c r="D288" s="2" t="s">
        <v>1169</v>
      </c>
      <c r="E288" s="2" t="n">
        <v>0</v>
      </c>
      <c r="F288" s="2" t="n">
        <v>1</v>
      </c>
      <c r="G288" s="2" t="s">
        <v>261</v>
      </c>
    </row>
    <row r="289" customFormat="false" ht="15" hidden="false" customHeight="false" outlineLevel="0" collapsed="false">
      <c r="A289" s="2" t="s">
        <v>1735</v>
      </c>
      <c r="B289" s="2" t="s">
        <v>1736</v>
      </c>
      <c r="C289" s="2" t="s">
        <v>20</v>
      </c>
      <c r="D289" s="2" t="s">
        <v>1169</v>
      </c>
      <c r="E289" s="2" t="n">
        <v>0</v>
      </c>
      <c r="F289" s="2" t="n">
        <v>1</v>
      </c>
      <c r="G289" s="2" t="s">
        <v>261</v>
      </c>
    </row>
    <row r="290" customFormat="false" ht="15" hidden="false" customHeight="false" outlineLevel="0" collapsed="false">
      <c r="A290" s="2" t="s">
        <v>1737</v>
      </c>
      <c r="B290" s="2" t="s">
        <v>1738</v>
      </c>
      <c r="C290" s="2" t="s">
        <v>20</v>
      </c>
      <c r="D290" s="2" t="s">
        <v>1169</v>
      </c>
      <c r="E290" s="2" t="n">
        <v>0</v>
      </c>
      <c r="F290" s="2" t="n">
        <v>1</v>
      </c>
      <c r="G290" s="2" t="s">
        <v>261</v>
      </c>
    </row>
    <row r="291" customFormat="false" ht="15" hidden="false" customHeight="false" outlineLevel="0" collapsed="false">
      <c r="A291" s="2" t="s">
        <v>1739</v>
      </c>
      <c r="B291" s="2" t="s">
        <v>1740</v>
      </c>
      <c r="C291" s="2" t="s">
        <v>20</v>
      </c>
      <c r="D291" s="2" t="s">
        <v>1169</v>
      </c>
      <c r="E291" s="2" t="n">
        <v>0</v>
      </c>
      <c r="F291" s="2" t="n">
        <v>1</v>
      </c>
      <c r="G291" s="2" t="s">
        <v>261</v>
      </c>
    </row>
    <row r="292" customFormat="false" ht="15" hidden="false" customHeight="false" outlineLevel="0" collapsed="false">
      <c r="A292" s="2" t="s">
        <v>1741</v>
      </c>
      <c r="B292" s="2" t="s">
        <v>1742</v>
      </c>
      <c r="C292" s="2" t="s">
        <v>20</v>
      </c>
      <c r="D292" s="2" t="s">
        <v>1169</v>
      </c>
      <c r="E292" s="2" t="n">
        <v>0</v>
      </c>
      <c r="F292" s="2" t="n">
        <v>1</v>
      </c>
      <c r="G292" s="2" t="s">
        <v>261</v>
      </c>
    </row>
    <row r="293" customFormat="false" ht="15" hidden="false" customHeight="false" outlineLevel="0" collapsed="false">
      <c r="A293" s="2" t="s">
        <v>1743</v>
      </c>
      <c r="B293" s="2" t="s">
        <v>1744</v>
      </c>
      <c r="C293" s="2" t="s">
        <v>20</v>
      </c>
      <c r="D293" s="2" t="s">
        <v>1169</v>
      </c>
      <c r="E293" s="2" t="n">
        <v>0</v>
      </c>
      <c r="F293" s="2" t="n">
        <v>1</v>
      </c>
      <c r="G293" s="2" t="s">
        <v>261</v>
      </c>
    </row>
    <row r="294" customFormat="false" ht="15" hidden="false" customHeight="false" outlineLevel="0" collapsed="false">
      <c r="A294" s="2" t="s">
        <v>1745</v>
      </c>
      <c r="B294" s="2" t="s">
        <v>1746</v>
      </c>
      <c r="C294" s="2" t="s">
        <v>20</v>
      </c>
      <c r="D294" s="2" t="s">
        <v>1169</v>
      </c>
      <c r="E294" s="2" t="n">
        <v>0</v>
      </c>
      <c r="F294" s="2" t="n">
        <v>1</v>
      </c>
      <c r="G294" s="2" t="s">
        <v>261</v>
      </c>
    </row>
    <row r="295" customFormat="false" ht="15" hidden="false" customHeight="false" outlineLevel="0" collapsed="false">
      <c r="A295" s="2" t="s">
        <v>1747</v>
      </c>
      <c r="B295" s="2" t="s">
        <v>1748</v>
      </c>
      <c r="C295" s="2" t="s">
        <v>20</v>
      </c>
      <c r="D295" s="2" t="s">
        <v>1169</v>
      </c>
      <c r="E295" s="2" t="n">
        <v>0</v>
      </c>
      <c r="F295" s="2" t="n">
        <v>1</v>
      </c>
      <c r="G295" s="2" t="s">
        <v>261</v>
      </c>
    </row>
    <row r="296" customFormat="false" ht="15" hidden="false" customHeight="false" outlineLevel="0" collapsed="false">
      <c r="A296" s="2" t="s">
        <v>1749</v>
      </c>
      <c r="B296" s="2" t="s">
        <v>1750</v>
      </c>
      <c r="C296" s="2" t="s">
        <v>20</v>
      </c>
      <c r="D296" s="2" t="s">
        <v>1169</v>
      </c>
      <c r="E296" s="2" t="n">
        <v>0</v>
      </c>
      <c r="F296" s="2" t="n">
        <v>1</v>
      </c>
      <c r="G296" s="2" t="s">
        <v>261</v>
      </c>
    </row>
    <row r="297" customFormat="false" ht="15" hidden="false" customHeight="false" outlineLevel="0" collapsed="false">
      <c r="A297" s="2" t="s">
        <v>1751</v>
      </c>
      <c r="B297" s="2" t="s">
        <v>1752</v>
      </c>
      <c r="C297" s="2" t="s">
        <v>20</v>
      </c>
      <c r="D297" s="2" t="s">
        <v>1169</v>
      </c>
      <c r="E297" s="2" t="n">
        <v>0</v>
      </c>
      <c r="F297" s="2" t="n">
        <v>1</v>
      </c>
      <c r="G297" s="2" t="s">
        <v>261</v>
      </c>
    </row>
    <row r="298" customFormat="false" ht="15" hidden="false" customHeight="false" outlineLevel="0" collapsed="false">
      <c r="A298" s="2" t="s">
        <v>1753</v>
      </c>
      <c r="B298" s="2" t="s">
        <v>1754</v>
      </c>
      <c r="C298" s="2" t="s">
        <v>20</v>
      </c>
      <c r="D298" s="2" t="s">
        <v>1169</v>
      </c>
      <c r="E298" s="2" t="n">
        <v>0</v>
      </c>
      <c r="F298" s="2" t="n">
        <v>1</v>
      </c>
      <c r="G298" s="2" t="s">
        <v>261</v>
      </c>
    </row>
    <row r="299" customFormat="false" ht="15" hidden="false" customHeight="false" outlineLevel="0" collapsed="false">
      <c r="A299" s="2" t="s">
        <v>1755</v>
      </c>
      <c r="B299" s="2" t="s">
        <v>1756</v>
      </c>
      <c r="C299" s="2" t="s">
        <v>20</v>
      </c>
      <c r="D299" s="2" t="s">
        <v>1169</v>
      </c>
      <c r="E299" s="2" t="n">
        <v>0</v>
      </c>
      <c r="F299" s="2" t="n">
        <v>1</v>
      </c>
      <c r="G299" s="2" t="s">
        <v>261</v>
      </c>
    </row>
    <row r="300" customFormat="false" ht="15" hidden="false" customHeight="false" outlineLevel="0" collapsed="false">
      <c r="A300" s="2" t="s">
        <v>1757</v>
      </c>
      <c r="B300" s="2" t="s">
        <v>1758</v>
      </c>
      <c r="C300" s="2" t="s">
        <v>20</v>
      </c>
      <c r="D300" s="2" t="s">
        <v>1169</v>
      </c>
      <c r="E300" s="2" t="n">
        <v>0</v>
      </c>
      <c r="F300" s="2" t="n">
        <v>1</v>
      </c>
      <c r="G300" s="2" t="s">
        <v>261</v>
      </c>
    </row>
    <row r="301" customFormat="false" ht="15" hidden="false" customHeight="false" outlineLevel="0" collapsed="false">
      <c r="A301" s="2" t="s">
        <v>1759</v>
      </c>
      <c r="B301" s="2" t="s">
        <v>1760</v>
      </c>
      <c r="C301" s="2" t="s">
        <v>20</v>
      </c>
      <c r="D301" s="2" t="s">
        <v>1169</v>
      </c>
      <c r="E301" s="2" t="n">
        <v>0</v>
      </c>
      <c r="F301" s="2" t="n">
        <v>1</v>
      </c>
      <c r="G301" s="2" t="s">
        <v>261</v>
      </c>
    </row>
    <row r="302" customFormat="false" ht="15" hidden="false" customHeight="false" outlineLevel="0" collapsed="false">
      <c r="A302" s="2" t="s">
        <v>1761</v>
      </c>
      <c r="B302" s="2" t="s">
        <v>1762</v>
      </c>
      <c r="C302" s="2" t="s">
        <v>20</v>
      </c>
      <c r="D302" s="2" t="s">
        <v>1169</v>
      </c>
      <c r="E302" s="2" t="n">
        <v>0</v>
      </c>
      <c r="F302" s="2" t="n">
        <v>1</v>
      </c>
      <c r="G302" s="2" t="s">
        <v>261</v>
      </c>
    </row>
    <row r="303" customFormat="false" ht="15" hidden="false" customHeight="false" outlineLevel="0" collapsed="false">
      <c r="A303" s="2" t="s">
        <v>1763</v>
      </c>
      <c r="B303" s="2" t="s">
        <v>1764</v>
      </c>
      <c r="C303" s="2" t="s">
        <v>20</v>
      </c>
      <c r="D303" s="2" t="s">
        <v>1169</v>
      </c>
      <c r="E303" s="2" t="n">
        <v>0</v>
      </c>
      <c r="F303" s="2" t="n">
        <v>1</v>
      </c>
      <c r="G303" s="2" t="s">
        <v>261</v>
      </c>
    </row>
    <row r="304" customFormat="false" ht="15" hidden="false" customHeight="false" outlineLevel="0" collapsed="false">
      <c r="A304" s="2" t="s">
        <v>1765</v>
      </c>
      <c r="B304" s="2" t="s">
        <v>1766</v>
      </c>
      <c r="C304" s="2" t="s">
        <v>20</v>
      </c>
      <c r="D304" s="2" t="s">
        <v>1169</v>
      </c>
      <c r="E304" s="2" t="n">
        <v>0</v>
      </c>
      <c r="F304" s="2" t="n">
        <v>1</v>
      </c>
      <c r="G304" s="2" t="s">
        <v>261</v>
      </c>
    </row>
    <row r="305" customFormat="false" ht="15" hidden="false" customHeight="false" outlineLevel="0" collapsed="false">
      <c r="A305" s="2" t="s">
        <v>1767</v>
      </c>
      <c r="B305" s="2" t="s">
        <v>1768</v>
      </c>
      <c r="C305" s="2" t="s">
        <v>20</v>
      </c>
      <c r="D305" s="2" t="s">
        <v>1169</v>
      </c>
      <c r="E305" s="2" t="n">
        <v>0</v>
      </c>
      <c r="F305" s="2" t="n">
        <v>1</v>
      </c>
      <c r="G305" s="2" t="s">
        <v>261</v>
      </c>
    </row>
    <row r="306" customFormat="false" ht="15" hidden="false" customHeight="false" outlineLevel="0" collapsed="false">
      <c r="A306" s="2" t="s">
        <v>1769</v>
      </c>
      <c r="B306" s="2" t="s">
        <v>1770</v>
      </c>
      <c r="C306" s="2" t="s">
        <v>20</v>
      </c>
      <c r="D306" s="2" t="s">
        <v>1169</v>
      </c>
      <c r="E306" s="2" t="n">
        <v>0</v>
      </c>
      <c r="F306" s="2" t="n">
        <v>1</v>
      </c>
      <c r="G306" s="2" t="s">
        <v>261</v>
      </c>
    </row>
    <row r="307" customFormat="false" ht="15" hidden="false" customHeight="false" outlineLevel="0" collapsed="false">
      <c r="A307" s="2" t="s">
        <v>1771</v>
      </c>
      <c r="B307" s="2" t="s">
        <v>1772</v>
      </c>
      <c r="C307" s="2" t="s">
        <v>20</v>
      </c>
      <c r="D307" s="2" t="s">
        <v>1169</v>
      </c>
      <c r="E307" s="2" t="n">
        <v>0</v>
      </c>
      <c r="F307" s="2" t="n">
        <v>1</v>
      </c>
      <c r="G307" s="2" t="s">
        <v>261</v>
      </c>
    </row>
    <row r="308" customFormat="false" ht="15" hidden="false" customHeight="false" outlineLevel="0" collapsed="false">
      <c r="A308" s="2" t="s">
        <v>1773</v>
      </c>
      <c r="B308" s="2" t="s">
        <v>1774</v>
      </c>
      <c r="C308" s="2" t="s">
        <v>20</v>
      </c>
      <c r="D308" s="2" t="s">
        <v>1169</v>
      </c>
      <c r="E308" s="2" t="n">
        <v>0</v>
      </c>
      <c r="F308" s="2" t="n">
        <v>1</v>
      </c>
      <c r="G308" s="2" t="s">
        <v>261</v>
      </c>
    </row>
    <row r="309" customFormat="false" ht="15" hidden="false" customHeight="false" outlineLevel="0" collapsed="false">
      <c r="A309" s="2" t="s">
        <v>1775</v>
      </c>
      <c r="B309" s="2" t="s">
        <v>1776</v>
      </c>
      <c r="C309" s="2" t="s">
        <v>20</v>
      </c>
      <c r="D309" s="2" t="s">
        <v>1169</v>
      </c>
      <c r="E309" s="2" t="n">
        <v>0</v>
      </c>
      <c r="F309" s="2" t="n">
        <v>1</v>
      </c>
      <c r="G309" s="2" t="s">
        <v>261</v>
      </c>
    </row>
    <row r="310" customFormat="false" ht="15" hidden="false" customHeight="false" outlineLevel="0" collapsed="false">
      <c r="A310" s="2" t="s">
        <v>1777</v>
      </c>
      <c r="B310" s="2" t="s">
        <v>1778</v>
      </c>
      <c r="C310" s="2" t="s">
        <v>20</v>
      </c>
      <c r="D310" s="2" t="s">
        <v>1169</v>
      </c>
      <c r="E310" s="2" t="n">
        <v>0</v>
      </c>
      <c r="F310" s="2" t="n">
        <v>1</v>
      </c>
      <c r="G310" s="2" t="s">
        <v>261</v>
      </c>
    </row>
    <row r="311" customFormat="false" ht="15" hidden="false" customHeight="false" outlineLevel="0" collapsed="false">
      <c r="A311" s="2" t="s">
        <v>1779</v>
      </c>
      <c r="B311" s="2" t="s">
        <v>1780</v>
      </c>
      <c r="C311" s="2" t="s">
        <v>20</v>
      </c>
      <c r="D311" s="2" t="s">
        <v>1169</v>
      </c>
      <c r="E311" s="2" t="n">
        <v>0</v>
      </c>
      <c r="F311" s="2" t="n">
        <v>1</v>
      </c>
      <c r="G311" s="2" t="s">
        <v>261</v>
      </c>
    </row>
    <row r="312" customFormat="false" ht="15" hidden="false" customHeight="false" outlineLevel="0" collapsed="false">
      <c r="A312" s="2" t="s">
        <v>1781</v>
      </c>
      <c r="B312" s="2" t="s">
        <v>1782</v>
      </c>
      <c r="C312" s="2" t="s">
        <v>20</v>
      </c>
      <c r="D312" s="2" t="s">
        <v>1169</v>
      </c>
      <c r="E312" s="2" t="n">
        <v>0</v>
      </c>
      <c r="F312" s="2" t="n">
        <v>1</v>
      </c>
      <c r="G312" s="2" t="s">
        <v>261</v>
      </c>
    </row>
    <row r="313" customFormat="false" ht="15" hidden="false" customHeight="false" outlineLevel="0" collapsed="false">
      <c r="A313" s="2" t="s">
        <v>1783</v>
      </c>
      <c r="B313" s="2" t="s">
        <v>1784</v>
      </c>
      <c r="C313" s="2" t="s">
        <v>20</v>
      </c>
      <c r="D313" s="2" t="s">
        <v>1169</v>
      </c>
      <c r="E313" s="2" t="n">
        <v>0</v>
      </c>
      <c r="F313" s="2" t="n">
        <v>1</v>
      </c>
      <c r="G313" s="2" t="s">
        <v>261</v>
      </c>
    </row>
    <row r="314" customFormat="false" ht="15" hidden="false" customHeight="false" outlineLevel="0" collapsed="false">
      <c r="A314" s="2" t="s">
        <v>1785</v>
      </c>
      <c r="B314" s="2" t="s">
        <v>1786</v>
      </c>
      <c r="C314" s="2" t="s">
        <v>20</v>
      </c>
      <c r="D314" s="2" t="s">
        <v>1169</v>
      </c>
      <c r="E314" s="2" t="n">
        <v>0</v>
      </c>
      <c r="F314" s="2" t="n">
        <v>1</v>
      </c>
      <c r="G314" s="2" t="s">
        <v>261</v>
      </c>
    </row>
    <row r="315" customFormat="false" ht="15" hidden="false" customHeight="false" outlineLevel="0" collapsed="false">
      <c r="A315" s="2" t="s">
        <v>1787</v>
      </c>
      <c r="B315" s="2" t="s">
        <v>1788</v>
      </c>
      <c r="C315" s="2" t="s">
        <v>20</v>
      </c>
      <c r="D315" s="2" t="s">
        <v>1169</v>
      </c>
      <c r="E315" s="2" t="n">
        <v>0</v>
      </c>
      <c r="F315" s="2" t="n">
        <v>1</v>
      </c>
      <c r="G315" s="2" t="s">
        <v>261</v>
      </c>
    </row>
    <row r="316" customFormat="false" ht="15" hidden="false" customHeight="false" outlineLevel="0" collapsed="false">
      <c r="A316" s="2" t="s">
        <v>1789</v>
      </c>
      <c r="B316" s="2" t="s">
        <v>1790</v>
      </c>
      <c r="C316" s="2" t="s">
        <v>20</v>
      </c>
      <c r="D316" s="2" t="s">
        <v>1169</v>
      </c>
      <c r="E316" s="2" t="n">
        <v>0</v>
      </c>
      <c r="F316" s="2" t="n">
        <v>1</v>
      </c>
      <c r="G316" s="2" t="s">
        <v>261</v>
      </c>
    </row>
    <row r="317" customFormat="false" ht="15" hidden="false" customHeight="false" outlineLevel="0" collapsed="false">
      <c r="A317" s="2" t="s">
        <v>1791</v>
      </c>
      <c r="B317" s="2" t="s">
        <v>1792</v>
      </c>
      <c r="C317" s="2" t="s">
        <v>20</v>
      </c>
      <c r="D317" s="2" t="s">
        <v>1169</v>
      </c>
      <c r="E317" s="2" t="n">
        <v>0</v>
      </c>
      <c r="F317" s="2" t="n">
        <v>1</v>
      </c>
      <c r="G317" s="2" t="s">
        <v>261</v>
      </c>
    </row>
    <row r="318" customFormat="false" ht="15" hidden="false" customHeight="false" outlineLevel="0" collapsed="false">
      <c r="A318" s="2" t="s">
        <v>1793</v>
      </c>
      <c r="B318" s="2" t="s">
        <v>1794</v>
      </c>
      <c r="C318" s="2" t="s">
        <v>20</v>
      </c>
      <c r="D318" s="2" t="s">
        <v>1169</v>
      </c>
      <c r="E318" s="2" t="n">
        <v>0</v>
      </c>
      <c r="F318" s="2" t="n">
        <v>1</v>
      </c>
      <c r="G318" s="2" t="s">
        <v>261</v>
      </c>
    </row>
    <row r="319" customFormat="false" ht="15" hidden="false" customHeight="false" outlineLevel="0" collapsed="false">
      <c r="A319" s="2" t="s">
        <v>1795</v>
      </c>
      <c r="B319" s="2" t="s">
        <v>1796</v>
      </c>
      <c r="C319" s="2" t="s">
        <v>20</v>
      </c>
      <c r="D319" s="2" t="s">
        <v>1169</v>
      </c>
      <c r="E319" s="2" t="n">
        <v>0</v>
      </c>
      <c r="F319" s="2" t="n">
        <v>1</v>
      </c>
      <c r="G319" s="2" t="s">
        <v>261</v>
      </c>
    </row>
    <row r="320" customFormat="false" ht="15" hidden="false" customHeight="false" outlineLevel="0" collapsed="false">
      <c r="A320" s="2" t="s">
        <v>1797</v>
      </c>
      <c r="B320" s="2" t="s">
        <v>1798</v>
      </c>
      <c r="C320" s="2" t="s">
        <v>20</v>
      </c>
      <c r="D320" s="2" t="s">
        <v>1169</v>
      </c>
      <c r="E320" s="2" t="n">
        <v>0</v>
      </c>
      <c r="F320" s="2" t="n">
        <v>1</v>
      </c>
      <c r="G320" s="2" t="s">
        <v>261</v>
      </c>
    </row>
    <row r="321" customFormat="false" ht="15" hidden="false" customHeight="false" outlineLevel="0" collapsed="false">
      <c r="A321" s="2" t="s">
        <v>1799</v>
      </c>
      <c r="B321" s="2" t="s">
        <v>1800</v>
      </c>
      <c r="C321" s="2" t="s">
        <v>20</v>
      </c>
      <c r="D321" s="2" t="s">
        <v>1169</v>
      </c>
      <c r="E321" s="2" t="n">
        <v>0</v>
      </c>
      <c r="F321" s="2" t="n">
        <v>1</v>
      </c>
      <c r="G321" s="2" t="s">
        <v>261</v>
      </c>
    </row>
    <row r="322" customFormat="false" ht="15" hidden="false" customHeight="false" outlineLevel="0" collapsed="false">
      <c r="A322" s="2" t="s">
        <v>1801</v>
      </c>
      <c r="B322" s="2" t="s">
        <v>1802</v>
      </c>
      <c r="C322" s="2" t="s">
        <v>20</v>
      </c>
      <c r="D322" s="2" t="s">
        <v>1169</v>
      </c>
      <c r="E322" s="2" t="n">
        <v>0</v>
      </c>
      <c r="F322" s="2" t="n">
        <v>1</v>
      </c>
      <c r="G322" s="2" t="s">
        <v>261</v>
      </c>
    </row>
    <row r="323" customFormat="false" ht="15" hidden="false" customHeight="false" outlineLevel="0" collapsed="false">
      <c r="A323" s="2" t="s">
        <v>1803</v>
      </c>
      <c r="B323" s="2" t="s">
        <v>1804</v>
      </c>
      <c r="C323" s="2" t="s">
        <v>20</v>
      </c>
      <c r="D323" s="2" t="s">
        <v>1169</v>
      </c>
      <c r="E323" s="2" t="n">
        <v>0</v>
      </c>
      <c r="F323" s="2" t="n">
        <v>1</v>
      </c>
      <c r="G323" s="2" t="s">
        <v>261</v>
      </c>
    </row>
    <row r="324" customFormat="false" ht="15" hidden="false" customHeight="false" outlineLevel="0" collapsed="false">
      <c r="A324" s="2" t="s">
        <v>1805</v>
      </c>
      <c r="B324" s="2" t="s">
        <v>1806</v>
      </c>
      <c r="C324" s="2" t="s">
        <v>20</v>
      </c>
      <c r="D324" s="2" t="s">
        <v>1169</v>
      </c>
      <c r="E324" s="2" t="n">
        <v>0</v>
      </c>
      <c r="F324" s="2" t="n">
        <v>1</v>
      </c>
      <c r="G324" s="2" t="s">
        <v>261</v>
      </c>
    </row>
    <row r="325" customFormat="false" ht="15" hidden="false" customHeight="false" outlineLevel="0" collapsed="false">
      <c r="A325" s="2" t="s">
        <v>1807</v>
      </c>
      <c r="B325" s="2" t="s">
        <v>1808</v>
      </c>
      <c r="C325" s="2" t="s">
        <v>20</v>
      </c>
      <c r="D325" s="2" t="s">
        <v>1169</v>
      </c>
      <c r="E325" s="2" t="n">
        <v>0</v>
      </c>
      <c r="F325" s="2" t="n">
        <v>1</v>
      </c>
      <c r="G325" s="2" t="s">
        <v>261</v>
      </c>
    </row>
    <row r="326" customFormat="false" ht="15" hidden="false" customHeight="false" outlineLevel="0" collapsed="false">
      <c r="A326" s="2" t="s">
        <v>1809</v>
      </c>
      <c r="B326" s="2" t="s">
        <v>1810</v>
      </c>
      <c r="C326" s="2" t="s">
        <v>20</v>
      </c>
      <c r="D326" s="2" t="s">
        <v>1169</v>
      </c>
      <c r="E326" s="2" t="n">
        <v>0</v>
      </c>
      <c r="F326" s="2" t="n">
        <v>1</v>
      </c>
      <c r="G326" s="2" t="s">
        <v>261</v>
      </c>
    </row>
    <row r="327" customFormat="false" ht="15" hidden="false" customHeight="false" outlineLevel="0" collapsed="false">
      <c r="A327" s="2" t="s">
        <v>1811</v>
      </c>
      <c r="B327" s="2" t="s">
        <v>1812</v>
      </c>
      <c r="C327" s="2" t="s">
        <v>20</v>
      </c>
      <c r="D327" s="2" t="s">
        <v>1169</v>
      </c>
      <c r="E327" s="2" t="n">
        <v>0</v>
      </c>
      <c r="F327" s="2" t="n">
        <v>1</v>
      </c>
      <c r="G327" s="2" t="s">
        <v>261</v>
      </c>
    </row>
    <row r="328" customFormat="false" ht="15" hidden="false" customHeight="false" outlineLevel="0" collapsed="false">
      <c r="A328" s="2" t="s">
        <v>1813</v>
      </c>
      <c r="B328" s="2" t="s">
        <v>1814</v>
      </c>
      <c r="C328" s="2" t="s">
        <v>20</v>
      </c>
      <c r="D328" s="2" t="s">
        <v>1169</v>
      </c>
      <c r="E328" s="2" t="n">
        <v>0</v>
      </c>
      <c r="F328" s="2" t="n">
        <v>1</v>
      </c>
      <c r="G328" s="2" t="s">
        <v>261</v>
      </c>
    </row>
    <row r="329" customFormat="false" ht="15" hidden="false" customHeight="false" outlineLevel="0" collapsed="false">
      <c r="A329" s="2" t="s">
        <v>1815</v>
      </c>
      <c r="B329" s="2" t="s">
        <v>1816</v>
      </c>
      <c r="C329" s="2" t="s">
        <v>20</v>
      </c>
      <c r="D329" s="2" t="s">
        <v>1169</v>
      </c>
      <c r="E329" s="2" t="n">
        <v>0</v>
      </c>
      <c r="F329" s="2" t="n">
        <v>1</v>
      </c>
      <c r="G329" s="2" t="s">
        <v>261</v>
      </c>
    </row>
    <row r="330" customFormat="false" ht="15" hidden="false" customHeight="false" outlineLevel="0" collapsed="false">
      <c r="A330" s="2" t="s">
        <v>1817</v>
      </c>
      <c r="B330" s="2" t="s">
        <v>1818</v>
      </c>
      <c r="C330" s="2" t="s">
        <v>20</v>
      </c>
      <c r="D330" s="2" t="s">
        <v>1169</v>
      </c>
      <c r="E330" s="2" t="n">
        <v>0</v>
      </c>
      <c r="F330" s="2" t="n">
        <v>1</v>
      </c>
      <c r="G330" s="2" t="s">
        <v>261</v>
      </c>
    </row>
    <row r="331" customFormat="false" ht="15" hidden="false" customHeight="false" outlineLevel="0" collapsed="false">
      <c r="A331" s="2" t="s">
        <v>1819</v>
      </c>
      <c r="B331" s="2" t="s">
        <v>1820</v>
      </c>
      <c r="C331" s="2" t="s">
        <v>20</v>
      </c>
      <c r="D331" s="2" t="s">
        <v>1169</v>
      </c>
      <c r="E331" s="2" t="n">
        <v>0</v>
      </c>
      <c r="F331" s="2" t="n">
        <v>1</v>
      </c>
      <c r="G331" s="2" t="s">
        <v>261</v>
      </c>
    </row>
    <row r="332" customFormat="false" ht="15" hidden="false" customHeight="false" outlineLevel="0" collapsed="false">
      <c r="A332" s="2" t="s">
        <v>1821</v>
      </c>
      <c r="B332" s="2" t="s">
        <v>1822</v>
      </c>
      <c r="C332" s="2" t="s">
        <v>1823</v>
      </c>
      <c r="D332" s="2" t="s">
        <v>1206</v>
      </c>
      <c r="E332" s="2" t="n">
        <v>1</v>
      </c>
      <c r="F332" s="2" t="n">
        <v>0</v>
      </c>
      <c r="G332" s="2"/>
    </row>
    <row r="333" customFormat="false" ht="15" hidden="false" customHeight="false" outlineLevel="0" collapsed="false">
      <c r="A333" s="2" t="s">
        <v>1824</v>
      </c>
      <c r="B333" s="2" t="s">
        <v>1825</v>
      </c>
      <c r="C333" s="2" t="s">
        <v>20</v>
      </c>
      <c r="D333" s="2" t="s">
        <v>1169</v>
      </c>
      <c r="E333" s="2" t="n">
        <v>0</v>
      </c>
      <c r="F333" s="2" t="n">
        <v>1</v>
      </c>
      <c r="G333" s="2" t="s">
        <v>261</v>
      </c>
    </row>
    <row r="334" customFormat="false" ht="15" hidden="false" customHeight="false" outlineLevel="0" collapsed="false">
      <c r="A334" s="2" t="s">
        <v>1826</v>
      </c>
      <c r="B334" s="2" t="s">
        <v>1827</v>
      </c>
      <c r="C334" s="2" t="s">
        <v>20</v>
      </c>
      <c r="D334" s="2" t="s">
        <v>1169</v>
      </c>
      <c r="E334" s="2" t="n">
        <v>0</v>
      </c>
      <c r="F334" s="2" t="n">
        <v>1</v>
      </c>
      <c r="G334" s="2" t="s">
        <v>261</v>
      </c>
    </row>
    <row r="335" customFormat="false" ht="15" hidden="false" customHeight="false" outlineLevel="0" collapsed="false">
      <c r="A335" s="2" t="s">
        <v>1828</v>
      </c>
      <c r="B335" s="2" t="s">
        <v>1829</v>
      </c>
      <c r="C335" s="2" t="s">
        <v>20</v>
      </c>
      <c r="D335" s="2" t="s">
        <v>1169</v>
      </c>
      <c r="E335" s="2" t="n">
        <v>0</v>
      </c>
      <c r="F335" s="2" t="n">
        <v>1</v>
      </c>
      <c r="G335" s="2" t="s">
        <v>261</v>
      </c>
    </row>
    <row r="336" customFormat="false" ht="15" hidden="false" customHeight="false" outlineLevel="0" collapsed="false">
      <c r="A336" s="2" t="s">
        <v>1830</v>
      </c>
      <c r="B336" s="2" t="s">
        <v>1831</v>
      </c>
      <c r="C336" s="2" t="s">
        <v>20</v>
      </c>
      <c r="D336" s="2" t="s">
        <v>1169</v>
      </c>
      <c r="E336" s="2" t="n">
        <v>0</v>
      </c>
      <c r="F336" s="2" t="n">
        <v>1</v>
      </c>
      <c r="G336" s="2" t="s">
        <v>261</v>
      </c>
    </row>
    <row r="337" customFormat="false" ht="15" hidden="false" customHeight="false" outlineLevel="0" collapsed="false">
      <c r="A337" s="2" t="s">
        <v>1832</v>
      </c>
      <c r="B337" s="2" t="s">
        <v>1833</v>
      </c>
      <c r="C337" s="2" t="s">
        <v>20</v>
      </c>
      <c r="D337" s="2" t="s">
        <v>1169</v>
      </c>
      <c r="E337" s="2" t="n">
        <v>0</v>
      </c>
      <c r="F337" s="2" t="n">
        <v>1</v>
      </c>
      <c r="G337" s="2" t="s">
        <v>261</v>
      </c>
    </row>
    <row r="338" customFormat="false" ht="15" hidden="false" customHeight="false" outlineLevel="0" collapsed="false">
      <c r="A338" s="2" t="s">
        <v>1834</v>
      </c>
      <c r="B338" s="2" t="s">
        <v>941</v>
      </c>
      <c r="C338" s="2" t="s">
        <v>942</v>
      </c>
      <c r="D338" s="2" t="s">
        <v>1206</v>
      </c>
      <c r="E338" s="2" t="n">
        <v>2</v>
      </c>
      <c r="F338" s="2" t="n">
        <v>0</v>
      </c>
      <c r="G338" s="2"/>
    </row>
    <row r="339" customFormat="false" ht="15" hidden="false" customHeight="false" outlineLevel="0" collapsed="false">
      <c r="A339" s="2" t="s">
        <v>1835</v>
      </c>
      <c r="B339" s="2" t="s">
        <v>1836</v>
      </c>
      <c r="C339" s="2" t="s">
        <v>20</v>
      </c>
      <c r="D339" s="2" t="s">
        <v>1169</v>
      </c>
      <c r="E339" s="2" t="n">
        <v>0</v>
      </c>
      <c r="F339" s="2" t="n">
        <v>1</v>
      </c>
      <c r="G339" s="2" t="s">
        <v>261</v>
      </c>
    </row>
    <row r="340" customFormat="false" ht="15" hidden="false" customHeight="false" outlineLevel="0" collapsed="false">
      <c r="A340" s="2" t="s">
        <v>1837</v>
      </c>
      <c r="B340" s="2" t="s">
        <v>1838</v>
      </c>
      <c r="C340" s="2" t="s">
        <v>20</v>
      </c>
      <c r="D340" s="2" t="s">
        <v>1169</v>
      </c>
      <c r="E340" s="2" t="n">
        <v>0</v>
      </c>
      <c r="F340" s="2" t="n">
        <v>1</v>
      </c>
      <c r="G340" s="2" t="s">
        <v>261</v>
      </c>
    </row>
    <row r="341" customFormat="false" ht="15" hidden="false" customHeight="false" outlineLevel="0" collapsed="false">
      <c r="A341" s="2" t="s">
        <v>1839</v>
      </c>
      <c r="B341" s="2" t="s">
        <v>290</v>
      </c>
      <c r="C341" s="2" t="s">
        <v>52</v>
      </c>
      <c r="D341" s="2" t="s">
        <v>1206</v>
      </c>
      <c r="E341" s="2" t="n">
        <v>2</v>
      </c>
      <c r="F341" s="2" t="n">
        <v>0</v>
      </c>
      <c r="G341" s="2"/>
    </row>
    <row r="342" customFormat="false" ht="15" hidden="false" customHeight="false" outlineLevel="0" collapsed="false">
      <c r="A342" s="2" t="s">
        <v>1840</v>
      </c>
      <c r="B342" s="2" t="s">
        <v>1841</v>
      </c>
      <c r="C342" s="2" t="s">
        <v>20</v>
      </c>
      <c r="D342" s="2" t="s">
        <v>1169</v>
      </c>
      <c r="E342" s="2" t="n">
        <v>0</v>
      </c>
      <c r="F342" s="2" t="n">
        <v>1</v>
      </c>
      <c r="G342" s="2" t="s">
        <v>32</v>
      </c>
    </row>
    <row r="343" customFormat="false" ht="15" hidden="false" customHeight="false" outlineLevel="0" collapsed="false">
      <c r="A343" s="2" t="s">
        <v>1842</v>
      </c>
      <c r="B343" s="2" t="s">
        <v>1843</v>
      </c>
      <c r="C343" s="2" t="s">
        <v>20</v>
      </c>
      <c r="D343" s="2" t="s">
        <v>1169</v>
      </c>
      <c r="E343" s="2" t="n">
        <v>0</v>
      </c>
      <c r="F343" s="2" t="n">
        <v>1</v>
      </c>
      <c r="G343" s="2" t="s">
        <v>261</v>
      </c>
    </row>
    <row r="344" customFormat="false" ht="15" hidden="false" customHeight="false" outlineLevel="0" collapsed="false">
      <c r="A344" s="2" t="s">
        <v>1844</v>
      </c>
      <c r="B344" s="2" t="s">
        <v>1845</v>
      </c>
      <c r="C344" s="2" t="s">
        <v>52</v>
      </c>
      <c r="D344" s="2" t="s">
        <v>1169</v>
      </c>
      <c r="E344" s="2" t="n">
        <v>0</v>
      </c>
      <c r="F344" s="2" t="n">
        <v>1</v>
      </c>
      <c r="G344" s="2" t="s">
        <v>32</v>
      </c>
    </row>
    <row r="345" customFormat="false" ht="15" hidden="false" customHeight="false" outlineLevel="0" collapsed="false">
      <c r="A345" s="2" t="s">
        <v>1846</v>
      </c>
      <c r="B345" s="2" t="s">
        <v>1847</v>
      </c>
      <c r="C345" s="2" t="s">
        <v>20</v>
      </c>
      <c r="D345" s="2" t="s">
        <v>1169</v>
      </c>
      <c r="E345" s="2" t="n">
        <v>0</v>
      </c>
      <c r="F345" s="2" t="n">
        <v>1</v>
      </c>
      <c r="G345" s="2" t="s">
        <v>261</v>
      </c>
    </row>
    <row r="346" customFormat="false" ht="15" hidden="false" customHeight="false" outlineLevel="0" collapsed="false">
      <c r="A346" s="2" t="s">
        <v>1848</v>
      </c>
      <c r="B346" s="2" t="s">
        <v>1849</v>
      </c>
      <c r="C346" s="2" t="s">
        <v>531</v>
      </c>
      <c r="D346" s="2" t="s">
        <v>1206</v>
      </c>
      <c r="E346" s="2" t="n">
        <v>1</v>
      </c>
      <c r="F346" s="2" t="n">
        <v>0</v>
      </c>
      <c r="G346" s="2"/>
    </row>
    <row r="347" customFormat="false" ht="15" hidden="false" customHeight="false" outlineLevel="0" collapsed="false">
      <c r="A347" s="2" t="s">
        <v>1850</v>
      </c>
      <c r="B347" s="2" t="s">
        <v>1851</v>
      </c>
      <c r="C347" s="2" t="s">
        <v>115</v>
      </c>
      <c r="D347" s="2" t="s">
        <v>1206</v>
      </c>
      <c r="E347" s="2" t="n">
        <v>1</v>
      </c>
      <c r="F347" s="2" t="n">
        <v>0</v>
      </c>
      <c r="G347" s="2"/>
    </row>
    <row r="348" customFormat="false" ht="15" hidden="false" customHeight="false" outlineLevel="0" collapsed="false">
      <c r="A348" s="2" t="s">
        <v>1852</v>
      </c>
      <c r="B348" s="2" t="s">
        <v>1853</v>
      </c>
      <c r="C348" s="2" t="s">
        <v>299</v>
      </c>
      <c r="D348" s="2" t="s">
        <v>1169</v>
      </c>
      <c r="E348" s="2" t="n">
        <v>0</v>
      </c>
      <c r="F348" s="2" t="n">
        <v>1</v>
      </c>
      <c r="G348" s="2" t="s">
        <v>261</v>
      </c>
    </row>
    <row r="349" customFormat="false" ht="15" hidden="false" customHeight="false" outlineLevel="0" collapsed="false">
      <c r="A349" s="2" t="s">
        <v>1854</v>
      </c>
      <c r="B349" s="2" t="s">
        <v>1855</v>
      </c>
      <c r="C349" s="2" t="s">
        <v>20</v>
      </c>
      <c r="D349" s="2" t="s">
        <v>1169</v>
      </c>
      <c r="E349" s="2" t="n">
        <v>0</v>
      </c>
      <c r="F349" s="2" t="n">
        <v>1</v>
      </c>
      <c r="G349" s="2" t="s">
        <v>261</v>
      </c>
    </row>
    <row r="350" customFormat="false" ht="15" hidden="false" customHeight="false" outlineLevel="0" collapsed="false">
      <c r="A350" s="2" t="s">
        <v>1856</v>
      </c>
      <c r="B350" s="2" t="s">
        <v>1857</v>
      </c>
      <c r="C350" s="2" t="s">
        <v>1858</v>
      </c>
      <c r="D350" s="2" t="s">
        <v>1169</v>
      </c>
      <c r="E350" s="2" t="n">
        <v>0</v>
      </c>
      <c r="F350" s="2" t="n">
        <v>1</v>
      </c>
      <c r="G350" s="2" t="s">
        <v>32</v>
      </c>
    </row>
    <row r="351" customFormat="false" ht="15" hidden="false" customHeight="false" outlineLevel="0" collapsed="false">
      <c r="A351" s="2" t="s">
        <v>1859</v>
      </c>
      <c r="B351" s="2" t="s">
        <v>1860</v>
      </c>
      <c r="C351" s="2" t="s">
        <v>106</v>
      </c>
      <c r="D351" s="2" t="s">
        <v>1169</v>
      </c>
      <c r="E351" s="2" t="n">
        <v>0</v>
      </c>
      <c r="F351" s="2" t="n">
        <v>1</v>
      </c>
      <c r="G351" s="2" t="s">
        <v>32</v>
      </c>
    </row>
    <row r="352" customFormat="false" ht="15" hidden="false" customHeight="false" outlineLevel="0" collapsed="false">
      <c r="A352" s="2" t="s">
        <v>1861</v>
      </c>
      <c r="B352" s="2" t="s">
        <v>1862</v>
      </c>
      <c r="C352" s="2" t="s">
        <v>20</v>
      </c>
      <c r="D352" s="2" t="s">
        <v>1169</v>
      </c>
      <c r="E352" s="2" t="n">
        <v>0</v>
      </c>
      <c r="F352" s="2" t="n">
        <v>1</v>
      </c>
      <c r="G352" s="2" t="s">
        <v>261</v>
      </c>
    </row>
    <row r="353" customFormat="false" ht="15" hidden="false" customHeight="false" outlineLevel="0" collapsed="false">
      <c r="A353" s="2" t="s">
        <v>1863</v>
      </c>
      <c r="B353" s="2" t="s">
        <v>1864</v>
      </c>
      <c r="C353" s="2" t="s">
        <v>20</v>
      </c>
      <c r="D353" s="2" t="s">
        <v>1169</v>
      </c>
      <c r="E353" s="2" t="n">
        <v>0</v>
      </c>
      <c r="F353" s="2" t="n">
        <v>1</v>
      </c>
      <c r="G353" s="2" t="s">
        <v>261</v>
      </c>
    </row>
    <row r="354" customFormat="false" ht="15" hidden="false" customHeight="false" outlineLevel="0" collapsed="false">
      <c r="A354" s="2" t="s">
        <v>1865</v>
      </c>
      <c r="B354" s="2" t="s">
        <v>505</v>
      </c>
      <c r="C354" s="2" t="s">
        <v>64</v>
      </c>
      <c r="D354" s="2" t="s">
        <v>1206</v>
      </c>
      <c r="E354" s="2" t="n">
        <v>1</v>
      </c>
      <c r="F354" s="2" t="n">
        <v>0</v>
      </c>
      <c r="G354" s="2"/>
    </row>
    <row r="355" customFormat="false" ht="15" hidden="false" customHeight="false" outlineLevel="0" collapsed="false">
      <c r="A355" s="2" t="s">
        <v>1866</v>
      </c>
      <c r="B355" s="2" t="s">
        <v>1867</v>
      </c>
      <c r="C355" s="2" t="s">
        <v>202</v>
      </c>
      <c r="D355" s="2" t="s">
        <v>1169</v>
      </c>
      <c r="E355" s="2" t="n">
        <v>0</v>
      </c>
      <c r="F355" s="2" t="n">
        <v>2</v>
      </c>
      <c r="G355" s="2" t="s">
        <v>261</v>
      </c>
    </row>
    <row r="356" customFormat="false" ht="15" hidden="false" customHeight="false" outlineLevel="0" collapsed="false">
      <c r="A356" s="2" t="s">
        <v>1868</v>
      </c>
      <c r="B356" s="2" t="s">
        <v>439</v>
      </c>
      <c r="C356" s="2" t="s">
        <v>440</v>
      </c>
      <c r="D356" s="2" t="s">
        <v>1206</v>
      </c>
      <c r="E356" s="2" t="n">
        <v>1</v>
      </c>
      <c r="F356" s="2" t="n">
        <v>0</v>
      </c>
      <c r="G356" s="2"/>
    </row>
    <row r="357" customFormat="false" ht="15" hidden="false" customHeight="false" outlineLevel="0" collapsed="false">
      <c r="A357" s="2" t="s">
        <v>1869</v>
      </c>
      <c r="B357" s="2" t="s">
        <v>1870</v>
      </c>
      <c r="C357" s="2" t="s">
        <v>363</v>
      </c>
      <c r="D357" s="2" t="s">
        <v>1169</v>
      </c>
      <c r="E357" s="2" t="n">
        <v>0</v>
      </c>
      <c r="F357" s="2" t="n">
        <v>1</v>
      </c>
      <c r="G357" s="2" t="s">
        <v>32</v>
      </c>
    </row>
    <row r="358" customFormat="false" ht="15" hidden="false" customHeight="false" outlineLevel="0" collapsed="false">
      <c r="A358" s="2" t="s">
        <v>1871</v>
      </c>
      <c r="B358" s="2" t="s">
        <v>892</v>
      </c>
      <c r="C358" s="2" t="s">
        <v>355</v>
      </c>
      <c r="D358" s="2" t="s">
        <v>1206</v>
      </c>
      <c r="E358" s="2" t="n">
        <v>2</v>
      </c>
      <c r="F358" s="2" t="n">
        <v>0</v>
      </c>
      <c r="G358" s="2"/>
    </row>
    <row r="359" customFormat="false" ht="15" hidden="false" customHeight="false" outlineLevel="0" collapsed="false">
      <c r="A359" s="2" t="s">
        <v>1872</v>
      </c>
      <c r="B359" s="2" t="s">
        <v>1873</v>
      </c>
      <c r="C359" s="2" t="s">
        <v>363</v>
      </c>
      <c r="D359" s="2" t="s">
        <v>1169</v>
      </c>
      <c r="E359" s="2" t="n">
        <v>0</v>
      </c>
      <c r="F359" s="2" t="n">
        <v>1</v>
      </c>
      <c r="G359" s="2" t="s">
        <v>32</v>
      </c>
    </row>
    <row r="360" customFormat="false" ht="15" hidden="false" customHeight="false" outlineLevel="0" collapsed="false">
      <c r="A360" s="2" t="s">
        <v>1874</v>
      </c>
      <c r="B360" s="2" t="s">
        <v>1875</v>
      </c>
      <c r="C360" s="2" t="s">
        <v>20</v>
      </c>
      <c r="D360" s="2" t="s">
        <v>1169</v>
      </c>
      <c r="E360" s="2" t="n">
        <v>0</v>
      </c>
      <c r="F360" s="2" t="n">
        <v>1</v>
      </c>
      <c r="G360" s="2" t="s">
        <v>261</v>
      </c>
    </row>
    <row r="361" customFormat="false" ht="15" hidden="false" customHeight="false" outlineLevel="0" collapsed="false">
      <c r="A361" s="2" t="s">
        <v>1876</v>
      </c>
      <c r="B361" s="2" t="s">
        <v>1877</v>
      </c>
      <c r="C361" s="2" t="s">
        <v>20</v>
      </c>
      <c r="D361" s="2" t="s">
        <v>1169</v>
      </c>
      <c r="E361" s="2" t="n">
        <v>0</v>
      </c>
      <c r="F361" s="2" t="n">
        <v>1</v>
      </c>
      <c r="G361" s="2" t="s">
        <v>261</v>
      </c>
    </row>
    <row r="362" customFormat="false" ht="15" hidden="false" customHeight="false" outlineLevel="0" collapsed="false">
      <c r="A362" s="2" t="s">
        <v>1878</v>
      </c>
      <c r="B362" s="2" t="s">
        <v>1879</v>
      </c>
      <c r="C362" s="2" t="s">
        <v>20</v>
      </c>
      <c r="D362" s="2" t="s">
        <v>1169</v>
      </c>
      <c r="E362" s="2" t="n">
        <v>0</v>
      </c>
      <c r="F362" s="2" t="n">
        <v>1</v>
      </c>
      <c r="G362" s="2" t="s">
        <v>261</v>
      </c>
    </row>
    <row r="363" customFormat="false" ht="15" hidden="false" customHeight="false" outlineLevel="0" collapsed="false">
      <c r="A363" s="2" t="s">
        <v>1880</v>
      </c>
      <c r="B363" s="2" t="s">
        <v>1881</v>
      </c>
      <c r="C363" s="2" t="s">
        <v>20</v>
      </c>
      <c r="D363" s="2" t="s">
        <v>1169</v>
      </c>
      <c r="E363" s="2" t="n">
        <v>0</v>
      </c>
      <c r="F363" s="2" t="n">
        <v>1</v>
      </c>
      <c r="G363" s="2" t="s">
        <v>261</v>
      </c>
    </row>
    <row r="364" customFormat="false" ht="15" hidden="false" customHeight="false" outlineLevel="0" collapsed="false">
      <c r="A364" s="2" t="s">
        <v>1882</v>
      </c>
      <c r="B364" s="2" t="s">
        <v>1883</v>
      </c>
      <c r="C364" s="2" t="s">
        <v>20</v>
      </c>
      <c r="D364" s="2" t="s">
        <v>1169</v>
      </c>
      <c r="E364" s="2" t="n">
        <v>0</v>
      </c>
      <c r="F364" s="2" t="n">
        <v>1</v>
      </c>
      <c r="G364" s="2" t="s">
        <v>261</v>
      </c>
    </row>
    <row r="365" customFormat="false" ht="15" hidden="false" customHeight="false" outlineLevel="0" collapsed="false">
      <c r="A365" s="2" t="s">
        <v>1884</v>
      </c>
      <c r="B365" s="2" t="s">
        <v>1885</v>
      </c>
      <c r="C365" s="2" t="s">
        <v>20</v>
      </c>
      <c r="D365" s="2" t="s">
        <v>1169</v>
      </c>
      <c r="E365" s="2" t="n">
        <v>0</v>
      </c>
      <c r="F365" s="2" t="n">
        <v>1</v>
      </c>
      <c r="G365" s="2" t="s">
        <v>261</v>
      </c>
    </row>
    <row r="366" customFormat="false" ht="15" hidden="false" customHeight="false" outlineLevel="0" collapsed="false">
      <c r="A366" s="2" t="s">
        <v>1886</v>
      </c>
      <c r="B366" s="2" t="s">
        <v>1887</v>
      </c>
      <c r="C366" s="2" t="s">
        <v>20</v>
      </c>
      <c r="D366" s="2" t="s">
        <v>1169</v>
      </c>
      <c r="E366" s="2" t="n">
        <v>0</v>
      </c>
      <c r="F366" s="2" t="n">
        <v>1</v>
      </c>
      <c r="G366" s="2" t="s">
        <v>261</v>
      </c>
    </row>
    <row r="367" customFormat="false" ht="15" hidden="false" customHeight="false" outlineLevel="0" collapsed="false">
      <c r="A367" s="2" t="s">
        <v>1888</v>
      </c>
      <c r="B367" s="2" t="s">
        <v>1889</v>
      </c>
      <c r="C367" s="2" t="s">
        <v>35</v>
      </c>
      <c r="D367" s="2" t="s">
        <v>1206</v>
      </c>
      <c r="E367" s="2" t="n">
        <v>1</v>
      </c>
      <c r="F367" s="2" t="n">
        <v>0</v>
      </c>
      <c r="G367" s="2"/>
    </row>
    <row r="368" customFormat="false" ht="15" hidden="false" customHeight="false" outlineLevel="0" collapsed="false">
      <c r="A368" s="2" t="s">
        <v>1890</v>
      </c>
      <c r="B368" s="2" t="s">
        <v>1891</v>
      </c>
      <c r="C368" s="2" t="s">
        <v>35</v>
      </c>
      <c r="D368" s="2" t="s">
        <v>1169</v>
      </c>
      <c r="E368" s="2" t="n">
        <v>0</v>
      </c>
      <c r="F368" s="2" t="n">
        <v>1</v>
      </c>
      <c r="G368" s="2" t="s">
        <v>261</v>
      </c>
    </row>
    <row r="369" customFormat="false" ht="15" hidden="false" customHeight="false" outlineLevel="0" collapsed="false">
      <c r="A369" s="2" t="s">
        <v>1892</v>
      </c>
      <c r="B369" s="2" t="s">
        <v>1893</v>
      </c>
      <c r="C369" s="2" t="s">
        <v>904</v>
      </c>
      <c r="D369" s="2" t="s">
        <v>1169</v>
      </c>
      <c r="E369" s="2" t="n">
        <v>0</v>
      </c>
      <c r="F369" s="2" t="n">
        <v>1</v>
      </c>
      <c r="G369" s="2" t="s">
        <v>32</v>
      </c>
    </row>
    <row r="370" customFormat="false" ht="15" hidden="false" customHeight="false" outlineLevel="0" collapsed="false">
      <c r="A370" s="2" t="s">
        <v>1894</v>
      </c>
      <c r="B370" s="2" t="s">
        <v>1895</v>
      </c>
      <c r="C370" s="2" t="s">
        <v>427</v>
      </c>
      <c r="D370" s="2" t="s">
        <v>1206</v>
      </c>
      <c r="E370" s="2" t="n">
        <v>1</v>
      </c>
      <c r="F370" s="2" t="n">
        <v>0</v>
      </c>
      <c r="G370" s="2"/>
    </row>
    <row r="371" customFormat="false" ht="15" hidden="false" customHeight="false" outlineLevel="0" collapsed="false">
      <c r="A371" s="2" t="s">
        <v>1896</v>
      </c>
      <c r="B371" s="2" t="s">
        <v>1897</v>
      </c>
      <c r="C371" s="2" t="s">
        <v>299</v>
      </c>
      <c r="D371" s="2" t="s">
        <v>1169</v>
      </c>
      <c r="E371" s="2" t="n">
        <v>0</v>
      </c>
      <c r="F371" s="2" t="n">
        <v>1</v>
      </c>
      <c r="G371" s="2" t="s">
        <v>32</v>
      </c>
    </row>
    <row r="372" customFormat="false" ht="15" hidden="false" customHeight="false" outlineLevel="0" collapsed="false">
      <c r="A372" s="2" t="s">
        <v>1898</v>
      </c>
      <c r="B372" s="2" t="s">
        <v>1049</v>
      </c>
      <c r="C372" s="2" t="s">
        <v>1050</v>
      </c>
      <c r="D372" s="2" t="s">
        <v>1206</v>
      </c>
      <c r="E372" s="2" t="n">
        <v>1</v>
      </c>
      <c r="F372" s="2" t="n">
        <v>0</v>
      </c>
      <c r="G372" s="2"/>
    </row>
    <row r="373" customFormat="false" ht="15" hidden="false" customHeight="false" outlineLevel="0" collapsed="false">
      <c r="A373" s="2" t="s">
        <v>1899</v>
      </c>
      <c r="B373" s="2" t="s">
        <v>1900</v>
      </c>
      <c r="C373" s="2" t="s">
        <v>90</v>
      </c>
      <c r="D373" s="2" t="s">
        <v>1206</v>
      </c>
      <c r="E373" s="2" t="n">
        <v>1</v>
      </c>
      <c r="F373" s="2" t="n">
        <v>0</v>
      </c>
      <c r="G373" s="2"/>
    </row>
    <row r="374" customFormat="false" ht="15" hidden="false" customHeight="false" outlineLevel="0" collapsed="false">
      <c r="A374" s="2" t="s">
        <v>1901</v>
      </c>
      <c r="B374" s="2" t="s">
        <v>1902</v>
      </c>
      <c r="C374" s="2" t="s">
        <v>299</v>
      </c>
      <c r="D374" s="2" t="s">
        <v>1169</v>
      </c>
      <c r="E374" s="2" t="n">
        <v>0</v>
      </c>
      <c r="F374" s="2" t="n">
        <v>1</v>
      </c>
      <c r="G374" s="2" t="s">
        <v>261</v>
      </c>
    </row>
    <row r="375" customFormat="false" ht="15" hidden="false" customHeight="false" outlineLevel="0" collapsed="false">
      <c r="A375" s="2" t="s">
        <v>1903</v>
      </c>
      <c r="B375" s="2" t="s">
        <v>1904</v>
      </c>
      <c r="C375" s="2" t="s">
        <v>623</v>
      </c>
      <c r="D375" s="2" t="s">
        <v>1169</v>
      </c>
      <c r="E375" s="2" t="n">
        <v>0</v>
      </c>
      <c r="F375" s="2" t="n">
        <v>1</v>
      </c>
      <c r="G375" s="2" t="s">
        <v>32</v>
      </c>
    </row>
    <row r="376" customFormat="false" ht="15" hidden="false" customHeight="false" outlineLevel="0" collapsed="false">
      <c r="A376" s="2" t="s">
        <v>1905</v>
      </c>
      <c r="B376" s="2" t="s">
        <v>1906</v>
      </c>
      <c r="C376" s="2" t="s">
        <v>20</v>
      </c>
      <c r="D376" s="2" t="s">
        <v>1169</v>
      </c>
      <c r="E376" s="2" t="n">
        <v>0</v>
      </c>
      <c r="F376" s="2" t="n">
        <v>1</v>
      </c>
      <c r="G376" s="2" t="s">
        <v>261</v>
      </c>
    </row>
    <row r="377" customFormat="false" ht="15" hidden="false" customHeight="false" outlineLevel="0" collapsed="false">
      <c r="A377" s="2" t="s">
        <v>1907</v>
      </c>
      <c r="B377" s="2" t="s">
        <v>1908</v>
      </c>
      <c r="C377" s="2" t="s">
        <v>299</v>
      </c>
      <c r="D377" s="2" t="s">
        <v>1169</v>
      </c>
      <c r="E377" s="2" t="n">
        <v>0</v>
      </c>
      <c r="F377" s="2" t="n">
        <v>1</v>
      </c>
      <c r="G377" s="2" t="s">
        <v>261</v>
      </c>
    </row>
    <row r="378" customFormat="false" ht="15" hidden="false" customHeight="false" outlineLevel="0" collapsed="false">
      <c r="A378" s="2" t="s">
        <v>1909</v>
      </c>
      <c r="B378" s="2" t="s">
        <v>862</v>
      </c>
      <c r="C378" s="2" t="s">
        <v>35</v>
      </c>
      <c r="D378" s="2" t="s">
        <v>1206</v>
      </c>
      <c r="E378" s="2" t="n">
        <v>1</v>
      </c>
      <c r="F378" s="2" t="n">
        <v>0</v>
      </c>
      <c r="G378" s="2"/>
    </row>
    <row r="379" customFormat="false" ht="15" hidden="false" customHeight="false" outlineLevel="0" collapsed="false">
      <c r="A379" s="2" t="s">
        <v>1910</v>
      </c>
      <c r="B379" s="2" t="s">
        <v>1911</v>
      </c>
      <c r="C379" s="2" t="s">
        <v>299</v>
      </c>
      <c r="D379" s="2" t="s">
        <v>1169</v>
      </c>
      <c r="E379" s="2" t="n">
        <v>0</v>
      </c>
      <c r="F379" s="2" t="n">
        <v>1</v>
      </c>
      <c r="G379" s="2" t="s">
        <v>32</v>
      </c>
    </row>
    <row r="380" customFormat="false" ht="15" hidden="false" customHeight="false" outlineLevel="0" collapsed="false">
      <c r="A380" s="2" t="s">
        <v>1912</v>
      </c>
      <c r="B380" s="2" t="s">
        <v>1913</v>
      </c>
      <c r="C380" s="2" t="s">
        <v>20</v>
      </c>
      <c r="D380" s="2" t="s">
        <v>1169</v>
      </c>
      <c r="E380" s="2" t="n">
        <v>0</v>
      </c>
      <c r="F380" s="2" t="n">
        <v>1</v>
      </c>
      <c r="G380" s="2" t="s">
        <v>261</v>
      </c>
    </row>
    <row r="381" customFormat="false" ht="15" hidden="false" customHeight="false" outlineLevel="0" collapsed="false">
      <c r="A381" s="2" t="s">
        <v>1914</v>
      </c>
      <c r="B381" s="2" t="s">
        <v>622</v>
      </c>
      <c r="C381" s="2" t="s">
        <v>623</v>
      </c>
      <c r="D381" s="2" t="s">
        <v>1206</v>
      </c>
      <c r="E381" s="2" t="n">
        <v>1</v>
      </c>
      <c r="F381" s="2" t="n">
        <v>0</v>
      </c>
      <c r="G381" s="2"/>
    </row>
    <row r="382" customFormat="false" ht="15" hidden="false" customHeight="false" outlineLevel="0" collapsed="false">
      <c r="A382" s="2" t="s">
        <v>1915</v>
      </c>
      <c r="B382" s="2" t="s">
        <v>1916</v>
      </c>
      <c r="C382" s="2" t="s">
        <v>35</v>
      </c>
      <c r="D382" s="2" t="s">
        <v>1169</v>
      </c>
      <c r="E382" s="2" t="n">
        <v>0</v>
      </c>
      <c r="F382" s="2" t="n">
        <v>1</v>
      </c>
      <c r="G382" s="2" t="s">
        <v>261</v>
      </c>
    </row>
    <row r="383" customFormat="false" ht="15" hidden="false" customHeight="false" outlineLevel="0" collapsed="false">
      <c r="A383" s="2" t="s">
        <v>1917</v>
      </c>
      <c r="B383" s="2" t="s">
        <v>1918</v>
      </c>
      <c r="C383" s="2" t="s">
        <v>20</v>
      </c>
      <c r="D383" s="2" t="s">
        <v>1169</v>
      </c>
      <c r="E383" s="2" t="n">
        <v>0</v>
      </c>
      <c r="F383" s="2" t="n">
        <v>1</v>
      </c>
      <c r="G383" s="2" t="s">
        <v>261</v>
      </c>
    </row>
    <row r="384" customFormat="false" ht="15" hidden="false" customHeight="false" outlineLevel="0" collapsed="false">
      <c r="A384" s="2" t="s">
        <v>1919</v>
      </c>
      <c r="B384" s="2" t="s">
        <v>1920</v>
      </c>
      <c r="C384" s="2" t="s">
        <v>299</v>
      </c>
      <c r="D384" s="2" t="s">
        <v>1169</v>
      </c>
      <c r="E384" s="2" t="n">
        <v>0</v>
      </c>
      <c r="F384" s="2" t="n">
        <v>1</v>
      </c>
      <c r="G384" s="2" t="s">
        <v>261</v>
      </c>
    </row>
    <row r="385" customFormat="false" ht="15" hidden="false" customHeight="false" outlineLevel="0" collapsed="false">
      <c r="A385" s="2" t="s">
        <v>1921</v>
      </c>
      <c r="B385" s="2" t="s">
        <v>1922</v>
      </c>
      <c r="C385" s="2" t="s">
        <v>20</v>
      </c>
      <c r="D385" s="2" t="s">
        <v>1169</v>
      </c>
      <c r="E385" s="2" t="n">
        <v>0</v>
      </c>
      <c r="F385" s="2" t="n">
        <v>1</v>
      </c>
      <c r="G385" s="2" t="s">
        <v>261</v>
      </c>
    </row>
    <row r="386" customFormat="false" ht="15" hidden="false" customHeight="false" outlineLevel="0" collapsed="false">
      <c r="A386" s="2" t="s">
        <v>1923</v>
      </c>
      <c r="B386" s="2" t="s">
        <v>1924</v>
      </c>
      <c r="C386" s="2" t="s">
        <v>299</v>
      </c>
      <c r="D386" s="2" t="s">
        <v>1169</v>
      </c>
      <c r="E386" s="2" t="n">
        <v>0</v>
      </c>
      <c r="F386" s="2" t="n">
        <v>1</v>
      </c>
      <c r="G386" s="2" t="s">
        <v>261</v>
      </c>
    </row>
    <row r="387" customFormat="false" ht="15" hidden="false" customHeight="false" outlineLevel="0" collapsed="false">
      <c r="A387" s="2" t="s">
        <v>1925</v>
      </c>
      <c r="B387" s="2" t="s">
        <v>1926</v>
      </c>
      <c r="C387" s="2" t="s">
        <v>299</v>
      </c>
      <c r="D387" s="2" t="s">
        <v>1169</v>
      </c>
      <c r="E387" s="2" t="n">
        <v>0</v>
      </c>
      <c r="F387" s="2" t="n">
        <v>1</v>
      </c>
      <c r="G387" s="2" t="s">
        <v>261</v>
      </c>
    </row>
    <row r="388" customFormat="false" ht="15" hidden="false" customHeight="false" outlineLevel="0" collapsed="false">
      <c r="A388" s="2" t="s">
        <v>1927</v>
      </c>
      <c r="B388" s="2" t="s">
        <v>1928</v>
      </c>
      <c r="C388" s="2" t="s">
        <v>20</v>
      </c>
      <c r="D388" s="2" t="s">
        <v>1169</v>
      </c>
      <c r="E388" s="2" t="n">
        <v>0</v>
      </c>
      <c r="F388" s="2" t="n">
        <v>1</v>
      </c>
      <c r="G388" s="2" t="s">
        <v>261</v>
      </c>
    </row>
    <row r="389" customFormat="false" ht="15" hidden="false" customHeight="false" outlineLevel="0" collapsed="false">
      <c r="A389" s="2" t="s">
        <v>1929</v>
      </c>
      <c r="B389" s="2" t="s">
        <v>1930</v>
      </c>
      <c r="C389" s="2" t="s">
        <v>20</v>
      </c>
      <c r="D389" s="2" t="s">
        <v>1169</v>
      </c>
      <c r="E389" s="2" t="n">
        <v>0</v>
      </c>
      <c r="F389" s="2" t="n">
        <v>1</v>
      </c>
      <c r="G389" s="2" t="s">
        <v>261</v>
      </c>
    </row>
    <row r="390" customFormat="false" ht="15" hidden="false" customHeight="false" outlineLevel="0" collapsed="false">
      <c r="A390" s="2" t="s">
        <v>1931</v>
      </c>
      <c r="B390" s="2" t="s">
        <v>967</v>
      </c>
      <c r="C390" s="2" t="s">
        <v>968</v>
      </c>
      <c r="D390" s="2" t="s">
        <v>1206</v>
      </c>
      <c r="E390" s="2" t="n">
        <v>1</v>
      </c>
      <c r="F390" s="2" t="n">
        <v>0</v>
      </c>
      <c r="G390" s="2"/>
    </row>
    <row r="391" customFormat="false" ht="15" hidden="false" customHeight="false" outlineLevel="0" collapsed="false">
      <c r="A391" s="2" t="s">
        <v>1932</v>
      </c>
      <c r="B391" s="2" t="s">
        <v>1933</v>
      </c>
      <c r="C391" s="2" t="s">
        <v>1934</v>
      </c>
      <c r="D391" s="2" t="s">
        <v>1206</v>
      </c>
      <c r="E391" s="2" t="n">
        <v>1</v>
      </c>
      <c r="F391" s="2" t="n">
        <v>0</v>
      </c>
      <c r="G391" s="2"/>
    </row>
    <row r="392" customFormat="false" ht="15" hidden="false" customHeight="false" outlineLevel="0" collapsed="false">
      <c r="A392" s="2" t="s">
        <v>1935</v>
      </c>
      <c r="B392" s="2" t="s">
        <v>1936</v>
      </c>
      <c r="C392" s="2" t="s">
        <v>35</v>
      </c>
      <c r="D392" s="2" t="s">
        <v>1169</v>
      </c>
      <c r="E392" s="2" t="n">
        <v>0</v>
      </c>
      <c r="F392" s="2" t="n">
        <v>1</v>
      </c>
      <c r="G392" s="2" t="s">
        <v>32</v>
      </c>
    </row>
    <row r="393" customFormat="false" ht="15" hidden="false" customHeight="false" outlineLevel="0" collapsed="false">
      <c r="A393" s="2" t="s">
        <v>1937</v>
      </c>
      <c r="B393" s="2" t="s">
        <v>1938</v>
      </c>
      <c r="C393" s="2" t="s">
        <v>440</v>
      </c>
      <c r="D393" s="2" t="s">
        <v>1169</v>
      </c>
      <c r="E393" s="2" t="n">
        <v>0</v>
      </c>
      <c r="F393" s="2" t="n">
        <v>1</v>
      </c>
      <c r="G393" s="2" t="s">
        <v>32</v>
      </c>
    </row>
    <row r="394" customFormat="false" ht="15" hidden="false" customHeight="false" outlineLevel="0" collapsed="false">
      <c r="A394" s="2" t="s">
        <v>1939</v>
      </c>
      <c r="B394" s="2" t="s">
        <v>1940</v>
      </c>
      <c r="C394" s="2" t="s">
        <v>52</v>
      </c>
      <c r="D394" s="2" t="s">
        <v>1169</v>
      </c>
      <c r="E394" s="2" t="n">
        <v>0</v>
      </c>
      <c r="F394" s="2" t="n">
        <v>1</v>
      </c>
      <c r="G394" s="2" t="s">
        <v>32</v>
      </c>
    </row>
    <row r="395" customFormat="false" ht="15" hidden="false" customHeight="false" outlineLevel="0" collapsed="false">
      <c r="A395" s="2" t="s">
        <v>1941</v>
      </c>
      <c r="B395" s="2" t="s">
        <v>1942</v>
      </c>
      <c r="C395" s="2" t="s">
        <v>20</v>
      </c>
      <c r="D395" s="2" t="s">
        <v>1169</v>
      </c>
      <c r="E395" s="2" t="n">
        <v>0</v>
      </c>
      <c r="F395" s="2" t="n">
        <v>1</v>
      </c>
      <c r="G395" s="2" t="s">
        <v>261</v>
      </c>
    </row>
    <row r="396" customFormat="false" ht="15" hidden="false" customHeight="false" outlineLevel="0" collapsed="false">
      <c r="A396" s="2" t="s">
        <v>1943</v>
      </c>
      <c r="B396" s="2" t="s">
        <v>1944</v>
      </c>
      <c r="C396" s="2" t="s">
        <v>299</v>
      </c>
      <c r="D396" s="2" t="s">
        <v>1169</v>
      </c>
      <c r="E396" s="2" t="n">
        <v>0</v>
      </c>
      <c r="F396" s="2" t="n">
        <v>1</v>
      </c>
      <c r="G396" s="2" t="s">
        <v>261</v>
      </c>
    </row>
    <row r="397" customFormat="false" ht="15" hidden="false" customHeight="false" outlineLevel="0" collapsed="false">
      <c r="A397" s="2" t="s">
        <v>1945</v>
      </c>
      <c r="B397" s="2" t="s">
        <v>1946</v>
      </c>
      <c r="C397" s="2" t="s">
        <v>1508</v>
      </c>
      <c r="D397" s="2" t="s">
        <v>1169</v>
      </c>
      <c r="E397" s="2" t="n">
        <v>0</v>
      </c>
      <c r="F397" s="2" t="n">
        <v>1</v>
      </c>
      <c r="G397" s="2" t="s">
        <v>32</v>
      </c>
    </row>
    <row r="398" customFormat="false" ht="15" hidden="false" customHeight="false" outlineLevel="0" collapsed="false">
      <c r="A398" s="2" t="s">
        <v>1947</v>
      </c>
      <c r="B398" s="2" t="s">
        <v>1948</v>
      </c>
      <c r="C398" s="2" t="s">
        <v>73</v>
      </c>
      <c r="D398" s="2" t="s">
        <v>1206</v>
      </c>
      <c r="E398" s="2" t="n">
        <v>1</v>
      </c>
      <c r="F398" s="2" t="n">
        <v>0</v>
      </c>
      <c r="G398" s="2"/>
    </row>
    <row r="399" customFormat="false" ht="15" hidden="false" customHeight="false" outlineLevel="0" collapsed="false">
      <c r="A399" s="2" t="s">
        <v>1949</v>
      </c>
      <c r="B399" s="2" t="s">
        <v>1950</v>
      </c>
      <c r="C399" s="2" t="s">
        <v>202</v>
      </c>
      <c r="D399" s="2" t="s">
        <v>1169</v>
      </c>
      <c r="E399" s="2" t="n">
        <v>0</v>
      </c>
      <c r="F399" s="2" t="n">
        <v>1</v>
      </c>
      <c r="G399" s="2" t="s">
        <v>32</v>
      </c>
    </row>
    <row r="400" customFormat="false" ht="15" hidden="false" customHeight="false" outlineLevel="0" collapsed="false">
      <c r="A400" s="2" t="s">
        <v>1951</v>
      </c>
      <c r="B400" s="2" t="s">
        <v>1952</v>
      </c>
      <c r="C400" s="2" t="s">
        <v>202</v>
      </c>
      <c r="D400" s="2" t="s">
        <v>1169</v>
      </c>
      <c r="E400" s="2" t="n">
        <v>0</v>
      </c>
      <c r="F400" s="2" t="n">
        <v>1</v>
      </c>
      <c r="G400" s="2" t="s">
        <v>32</v>
      </c>
    </row>
    <row r="401" customFormat="false" ht="15" hidden="false" customHeight="false" outlineLevel="0" collapsed="false">
      <c r="A401" s="2" t="s">
        <v>1953</v>
      </c>
      <c r="B401" s="2" t="s">
        <v>1954</v>
      </c>
      <c r="C401" s="2" t="s">
        <v>202</v>
      </c>
      <c r="D401" s="2" t="s">
        <v>1169</v>
      </c>
      <c r="E401" s="2" t="n">
        <v>0</v>
      </c>
      <c r="F401" s="2" t="n">
        <v>1</v>
      </c>
      <c r="G401" s="2" t="s">
        <v>32</v>
      </c>
    </row>
    <row r="402" customFormat="false" ht="15" hidden="false" customHeight="false" outlineLevel="0" collapsed="false">
      <c r="A402" s="2" t="s">
        <v>1955</v>
      </c>
      <c r="B402" s="2" t="s">
        <v>1956</v>
      </c>
      <c r="C402" s="2" t="s">
        <v>202</v>
      </c>
      <c r="D402" s="2" t="s">
        <v>1206</v>
      </c>
      <c r="E402" s="2" t="n">
        <v>1</v>
      </c>
      <c r="F402" s="2" t="n">
        <v>0</v>
      </c>
      <c r="G402" s="2"/>
    </row>
    <row r="403" customFormat="false" ht="15" hidden="false" customHeight="false" outlineLevel="0" collapsed="false">
      <c r="A403" s="2" t="s">
        <v>1957</v>
      </c>
      <c r="B403" s="2" t="s">
        <v>1958</v>
      </c>
      <c r="C403" s="2" t="s">
        <v>202</v>
      </c>
      <c r="D403" s="2" t="s">
        <v>1206</v>
      </c>
      <c r="E403" s="2" t="n">
        <v>1</v>
      </c>
      <c r="F403" s="2" t="n">
        <v>0</v>
      </c>
      <c r="G403" s="2"/>
    </row>
    <row r="404" customFormat="false" ht="15" hidden="false" customHeight="false" outlineLevel="0" collapsed="false">
      <c r="A404" s="2" t="s">
        <v>1959</v>
      </c>
      <c r="B404" s="2" t="s">
        <v>1960</v>
      </c>
      <c r="C404" s="2" t="s">
        <v>202</v>
      </c>
      <c r="D404" s="2" t="s">
        <v>1169</v>
      </c>
      <c r="E404" s="2" t="n">
        <v>0</v>
      </c>
      <c r="F404" s="2" t="n">
        <v>1</v>
      </c>
      <c r="G404" s="2" t="s">
        <v>32</v>
      </c>
    </row>
    <row r="405" customFormat="false" ht="15" hidden="false" customHeight="false" outlineLevel="0" collapsed="false">
      <c r="A405" s="2" t="s">
        <v>1961</v>
      </c>
      <c r="B405" s="2" t="s">
        <v>1962</v>
      </c>
      <c r="C405" s="2" t="s">
        <v>202</v>
      </c>
      <c r="D405" s="2" t="s">
        <v>1169</v>
      </c>
      <c r="E405" s="2" t="n">
        <v>0</v>
      </c>
      <c r="F405" s="2" t="n">
        <v>1</v>
      </c>
      <c r="G405" s="2" t="s">
        <v>32</v>
      </c>
    </row>
    <row r="406" customFormat="false" ht="15" hidden="false" customHeight="false" outlineLevel="0" collapsed="false">
      <c r="A406" s="2" t="s">
        <v>1963</v>
      </c>
      <c r="B406" s="2" t="s">
        <v>1964</v>
      </c>
      <c r="C406" s="2" t="s">
        <v>202</v>
      </c>
      <c r="D406" s="2" t="s">
        <v>1206</v>
      </c>
      <c r="E406" s="2" t="n">
        <v>1</v>
      </c>
      <c r="F406" s="2" t="n">
        <v>0</v>
      </c>
      <c r="G406" s="2"/>
    </row>
    <row r="407" customFormat="false" ht="15" hidden="false" customHeight="false" outlineLevel="0" collapsed="false">
      <c r="A407" s="2" t="s">
        <v>1965</v>
      </c>
      <c r="B407" s="2" t="s">
        <v>1966</v>
      </c>
      <c r="C407" s="2" t="s">
        <v>202</v>
      </c>
      <c r="D407" s="2" t="s">
        <v>1206</v>
      </c>
      <c r="E407" s="2" t="n">
        <v>1</v>
      </c>
      <c r="F407" s="2" t="n">
        <v>0</v>
      </c>
      <c r="G407" s="2"/>
    </row>
    <row r="408" customFormat="false" ht="15" hidden="false" customHeight="false" outlineLevel="0" collapsed="false">
      <c r="A408" s="2" t="s">
        <v>1967</v>
      </c>
      <c r="B408" s="2" t="s">
        <v>1968</v>
      </c>
      <c r="C408" s="2" t="s">
        <v>202</v>
      </c>
      <c r="D408" s="2" t="s">
        <v>1206</v>
      </c>
      <c r="E408" s="2" t="n">
        <v>1</v>
      </c>
      <c r="F408" s="2" t="n">
        <v>2</v>
      </c>
      <c r="G408" s="2" t="s">
        <v>261</v>
      </c>
    </row>
    <row r="409" customFormat="false" ht="15" hidden="false" customHeight="false" outlineLevel="0" collapsed="false">
      <c r="A409" s="2" t="s">
        <v>1969</v>
      </c>
      <c r="B409" s="2" t="s">
        <v>1970</v>
      </c>
      <c r="C409" s="2" t="s">
        <v>202</v>
      </c>
      <c r="D409" s="2" t="s">
        <v>1169</v>
      </c>
      <c r="E409" s="2" t="n">
        <v>0</v>
      </c>
      <c r="F409" s="2" t="n">
        <v>1</v>
      </c>
      <c r="G409" s="2" t="s">
        <v>32</v>
      </c>
    </row>
    <row r="410" customFormat="false" ht="15" hidden="false" customHeight="false" outlineLevel="0" collapsed="false">
      <c r="A410" s="2" t="s">
        <v>1971</v>
      </c>
      <c r="B410" s="2" t="s">
        <v>1972</v>
      </c>
      <c r="C410" s="2" t="s">
        <v>202</v>
      </c>
      <c r="D410" s="2" t="s">
        <v>1169</v>
      </c>
      <c r="E410" s="2" t="n">
        <v>0</v>
      </c>
      <c r="F410" s="2" t="n">
        <v>1</v>
      </c>
      <c r="G410" s="2" t="s">
        <v>32</v>
      </c>
    </row>
    <row r="411" customFormat="false" ht="15" hidden="false" customHeight="false" outlineLevel="0" collapsed="false">
      <c r="A411" s="2" t="s">
        <v>1973</v>
      </c>
      <c r="B411" s="2" t="s">
        <v>1974</v>
      </c>
      <c r="C411" s="2" t="s">
        <v>202</v>
      </c>
      <c r="D411" s="2" t="s">
        <v>1169</v>
      </c>
      <c r="E411" s="2" t="n">
        <v>0</v>
      </c>
      <c r="F411" s="2" t="n">
        <v>1</v>
      </c>
      <c r="G411" s="2" t="s">
        <v>32</v>
      </c>
    </row>
    <row r="412" customFormat="false" ht="15" hidden="false" customHeight="false" outlineLevel="0" collapsed="false">
      <c r="A412" s="2" t="s">
        <v>1975</v>
      </c>
      <c r="B412" s="2" t="s">
        <v>1976</v>
      </c>
      <c r="C412" s="2" t="s">
        <v>202</v>
      </c>
      <c r="D412" s="2" t="s">
        <v>1169</v>
      </c>
      <c r="E412" s="2" t="n">
        <v>0</v>
      </c>
      <c r="F412" s="2" t="n">
        <v>2</v>
      </c>
      <c r="G412" s="2" t="s">
        <v>261</v>
      </c>
    </row>
    <row r="413" customFormat="false" ht="15" hidden="false" customHeight="false" outlineLevel="0" collapsed="false">
      <c r="A413" s="2" t="s">
        <v>1977</v>
      </c>
      <c r="B413" s="2" t="s">
        <v>1978</v>
      </c>
      <c r="C413" s="2" t="s">
        <v>202</v>
      </c>
      <c r="D413" s="2" t="s">
        <v>1169</v>
      </c>
      <c r="E413" s="2" t="n">
        <v>0</v>
      </c>
      <c r="F413" s="2" t="n">
        <v>1</v>
      </c>
      <c r="G413" s="2" t="s">
        <v>32</v>
      </c>
    </row>
    <row r="414" customFormat="false" ht="15" hidden="false" customHeight="false" outlineLevel="0" collapsed="false">
      <c r="A414" s="2" t="s">
        <v>1979</v>
      </c>
      <c r="B414" s="2" t="s">
        <v>1980</v>
      </c>
      <c r="C414" s="2" t="s">
        <v>202</v>
      </c>
      <c r="D414" s="2" t="s">
        <v>1169</v>
      </c>
      <c r="E414" s="2" t="n">
        <v>0</v>
      </c>
      <c r="F414" s="2" t="n">
        <v>1</v>
      </c>
      <c r="G414" s="2" t="s">
        <v>32</v>
      </c>
    </row>
    <row r="415" customFormat="false" ht="15" hidden="false" customHeight="false" outlineLevel="0" collapsed="false">
      <c r="A415" s="2" t="s">
        <v>1981</v>
      </c>
      <c r="B415" s="2" t="s">
        <v>1982</v>
      </c>
      <c r="C415" s="2" t="s">
        <v>299</v>
      </c>
      <c r="D415" s="2" t="s">
        <v>1169</v>
      </c>
      <c r="E415" s="2" t="n">
        <v>0</v>
      </c>
      <c r="F415" s="2" t="n">
        <v>1</v>
      </c>
      <c r="G415" s="2" t="s">
        <v>261</v>
      </c>
    </row>
    <row r="416" customFormat="false" ht="15" hidden="false" customHeight="false" outlineLevel="0" collapsed="false">
      <c r="A416" s="2" t="s">
        <v>1983</v>
      </c>
      <c r="B416" s="2" t="s">
        <v>1984</v>
      </c>
      <c r="C416" s="2" t="s">
        <v>52</v>
      </c>
      <c r="D416" s="2" t="s">
        <v>1206</v>
      </c>
      <c r="E416" s="2" t="n">
        <v>1</v>
      </c>
      <c r="F416" s="2" t="n">
        <v>0</v>
      </c>
      <c r="G416" s="2"/>
    </row>
    <row r="417" customFormat="false" ht="15" hidden="false" customHeight="false" outlineLevel="0" collapsed="false">
      <c r="A417" s="2" t="s">
        <v>1985</v>
      </c>
      <c r="B417" s="2" t="s">
        <v>1986</v>
      </c>
      <c r="C417" s="2" t="s">
        <v>427</v>
      </c>
      <c r="D417" s="2" t="s">
        <v>1206</v>
      </c>
      <c r="E417" s="2" t="n">
        <v>3</v>
      </c>
      <c r="F417" s="2" t="n">
        <v>0</v>
      </c>
      <c r="G417" s="2"/>
    </row>
    <row r="418" customFormat="false" ht="15" hidden="false" customHeight="false" outlineLevel="0" collapsed="false">
      <c r="A418" s="2" t="s">
        <v>1987</v>
      </c>
      <c r="B418" s="2" t="s">
        <v>1988</v>
      </c>
      <c r="C418" s="2" t="s">
        <v>20</v>
      </c>
      <c r="D418" s="2" t="s">
        <v>1169</v>
      </c>
      <c r="E418" s="2" t="n">
        <v>0</v>
      </c>
      <c r="F418" s="2" t="n">
        <v>1</v>
      </c>
      <c r="G418" s="2" t="s">
        <v>261</v>
      </c>
    </row>
    <row r="419" customFormat="false" ht="15" hidden="false" customHeight="false" outlineLevel="0" collapsed="false">
      <c r="A419" s="2" t="s">
        <v>1989</v>
      </c>
      <c r="B419" s="2" t="s">
        <v>1990</v>
      </c>
      <c r="C419" s="2" t="s">
        <v>20</v>
      </c>
      <c r="D419" s="2" t="s">
        <v>1169</v>
      </c>
      <c r="E419" s="2" t="n">
        <v>0</v>
      </c>
      <c r="F419" s="2" t="n">
        <v>1</v>
      </c>
      <c r="G419" s="2" t="s">
        <v>261</v>
      </c>
    </row>
    <row r="420" customFormat="false" ht="15" hidden="false" customHeight="false" outlineLevel="0" collapsed="false">
      <c r="A420" s="2" t="s">
        <v>1991</v>
      </c>
      <c r="B420" s="2" t="s">
        <v>348</v>
      </c>
      <c r="C420" s="2" t="s">
        <v>35</v>
      </c>
      <c r="D420" s="2" t="s">
        <v>1206</v>
      </c>
      <c r="E420" s="2" t="n">
        <v>1</v>
      </c>
      <c r="F420" s="2" t="n">
        <v>0</v>
      </c>
      <c r="G420" s="2"/>
    </row>
    <row r="421" customFormat="false" ht="15" hidden="false" customHeight="false" outlineLevel="0" collapsed="false">
      <c r="A421" s="2" t="s">
        <v>1992</v>
      </c>
      <c r="B421" s="2" t="s">
        <v>1993</v>
      </c>
      <c r="C421" s="2" t="s">
        <v>299</v>
      </c>
      <c r="D421" s="2" t="s">
        <v>1169</v>
      </c>
      <c r="E421" s="2" t="n">
        <v>0</v>
      </c>
      <c r="F421" s="2" t="n">
        <v>1</v>
      </c>
      <c r="G421" s="2" t="s">
        <v>261</v>
      </c>
    </row>
    <row r="422" customFormat="false" ht="15" hidden="false" customHeight="false" outlineLevel="0" collapsed="false">
      <c r="A422" s="2" t="s">
        <v>1994</v>
      </c>
      <c r="B422" s="2" t="s">
        <v>1995</v>
      </c>
      <c r="C422" s="2" t="s">
        <v>1996</v>
      </c>
      <c r="D422" s="2" t="s">
        <v>1169</v>
      </c>
      <c r="E422" s="2" t="n">
        <v>0</v>
      </c>
      <c r="F422" s="2" t="n">
        <v>1</v>
      </c>
      <c r="G422" s="2" t="s">
        <v>32</v>
      </c>
    </row>
    <row r="423" customFormat="false" ht="15" hidden="false" customHeight="false" outlineLevel="0" collapsed="false">
      <c r="A423" s="2" t="s">
        <v>1997</v>
      </c>
      <c r="B423" s="2" t="s">
        <v>1998</v>
      </c>
      <c r="C423" s="2" t="s">
        <v>52</v>
      </c>
      <c r="D423" s="2" t="s">
        <v>1169</v>
      </c>
      <c r="E423" s="2" t="n">
        <v>0</v>
      </c>
      <c r="F423" s="2" t="n">
        <v>1</v>
      </c>
      <c r="G423" s="2" t="s">
        <v>32</v>
      </c>
    </row>
    <row r="424" customFormat="false" ht="15" hidden="false" customHeight="false" outlineLevel="0" collapsed="false">
      <c r="A424" s="2" t="s">
        <v>1999</v>
      </c>
      <c r="B424" s="2" t="s">
        <v>565</v>
      </c>
      <c r="C424" s="2" t="s">
        <v>52</v>
      </c>
      <c r="D424" s="2" t="s">
        <v>1206</v>
      </c>
      <c r="E424" s="2" t="n">
        <v>1</v>
      </c>
      <c r="F424" s="2" t="n">
        <v>0</v>
      </c>
      <c r="G424" s="2"/>
    </row>
    <row r="425" customFormat="false" ht="15" hidden="false" customHeight="false" outlineLevel="0" collapsed="false">
      <c r="A425" s="2" t="s">
        <v>2000</v>
      </c>
      <c r="B425" s="2" t="s">
        <v>2001</v>
      </c>
      <c r="C425" s="2" t="s">
        <v>299</v>
      </c>
      <c r="D425" s="2" t="s">
        <v>1169</v>
      </c>
      <c r="E425" s="2" t="n">
        <v>0</v>
      </c>
      <c r="F425" s="2" t="n">
        <v>1</v>
      </c>
      <c r="G425" s="2" t="s">
        <v>261</v>
      </c>
    </row>
    <row r="426" customFormat="false" ht="15" hidden="false" customHeight="false" outlineLevel="0" collapsed="false">
      <c r="A426" s="2" t="s">
        <v>2002</v>
      </c>
      <c r="B426" s="2" t="s">
        <v>2003</v>
      </c>
      <c r="C426" s="2" t="s">
        <v>20</v>
      </c>
      <c r="D426" s="2" t="s">
        <v>1169</v>
      </c>
      <c r="E426" s="2" t="n">
        <v>0</v>
      </c>
      <c r="F426" s="2" t="n">
        <v>1</v>
      </c>
      <c r="G426" s="2" t="s">
        <v>261</v>
      </c>
    </row>
    <row r="427" customFormat="false" ht="15" hidden="false" customHeight="false" outlineLevel="0" collapsed="false">
      <c r="A427" s="2" t="s">
        <v>2004</v>
      </c>
      <c r="B427" s="2" t="s">
        <v>2005</v>
      </c>
      <c r="C427" s="2" t="s">
        <v>1050</v>
      </c>
      <c r="D427" s="2" t="s">
        <v>1169</v>
      </c>
      <c r="E427" s="2" t="n">
        <v>0</v>
      </c>
      <c r="F427" s="2" t="n">
        <v>1</v>
      </c>
      <c r="G427" s="2" t="s">
        <v>261</v>
      </c>
    </row>
    <row r="428" customFormat="false" ht="15" hidden="false" customHeight="false" outlineLevel="0" collapsed="false">
      <c r="A428" s="2" t="s">
        <v>2006</v>
      </c>
      <c r="B428" s="2" t="s">
        <v>2007</v>
      </c>
      <c r="C428" s="2" t="s">
        <v>355</v>
      </c>
      <c r="D428" s="2" t="s">
        <v>1206</v>
      </c>
      <c r="E428" s="2" t="n">
        <v>1</v>
      </c>
      <c r="F428" s="2" t="n">
        <v>0</v>
      </c>
      <c r="G428" s="2"/>
    </row>
    <row r="429" customFormat="false" ht="15" hidden="false" customHeight="false" outlineLevel="0" collapsed="false">
      <c r="A429" s="2" t="s">
        <v>2008</v>
      </c>
      <c r="B429" s="2" t="s">
        <v>2009</v>
      </c>
      <c r="C429" s="2" t="s">
        <v>73</v>
      </c>
      <c r="D429" s="2" t="s">
        <v>1206</v>
      </c>
      <c r="E429" s="2" t="n">
        <v>1</v>
      </c>
      <c r="F429" s="2" t="n">
        <v>0</v>
      </c>
      <c r="G429" s="2"/>
    </row>
    <row r="430" customFormat="false" ht="15" hidden="false" customHeight="false" outlineLevel="0" collapsed="false">
      <c r="A430" s="2" t="s">
        <v>2010</v>
      </c>
      <c r="B430" s="2" t="s">
        <v>2011</v>
      </c>
      <c r="C430" s="2" t="s">
        <v>299</v>
      </c>
      <c r="D430" s="2" t="s">
        <v>1169</v>
      </c>
      <c r="E430" s="2" t="n">
        <v>0</v>
      </c>
      <c r="F430" s="2" t="n">
        <v>1</v>
      </c>
      <c r="G430" s="2" t="s">
        <v>32</v>
      </c>
    </row>
    <row r="431" customFormat="false" ht="15" hidden="false" customHeight="false" outlineLevel="0" collapsed="false">
      <c r="A431" s="2" t="s">
        <v>2012</v>
      </c>
      <c r="B431" s="2" t="s">
        <v>2013</v>
      </c>
      <c r="C431" s="2" t="s">
        <v>299</v>
      </c>
      <c r="D431" s="2" t="s">
        <v>1169</v>
      </c>
      <c r="E431" s="2" t="n">
        <v>0</v>
      </c>
      <c r="F431" s="2" t="n">
        <v>1</v>
      </c>
      <c r="G431" s="2" t="s">
        <v>261</v>
      </c>
    </row>
    <row r="432" customFormat="false" ht="15" hidden="false" customHeight="false" outlineLevel="0" collapsed="false">
      <c r="A432" s="2" t="s">
        <v>2014</v>
      </c>
      <c r="B432" s="2" t="s">
        <v>2015</v>
      </c>
      <c r="C432" s="2" t="s">
        <v>427</v>
      </c>
      <c r="D432" s="2" t="s">
        <v>1169</v>
      </c>
      <c r="E432" s="2" t="n">
        <v>0</v>
      </c>
      <c r="F432" s="2" t="n">
        <v>1</v>
      </c>
      <c r="G432" s="2" t="s">
        <v>32</v>
      </c>
    </row>
    <row r="433" customFormat="false" ht="15" hidden="false" customHeight="false" outlineLevel="0" collapsed="false">
      <c r="A433" s="2" t="s">
        <v>2016</v>
      </c>
      <c r="B433" s="2" t="s">
        <v>2017</v>
      </c>
      <c r="C433" s="2" t="s">
        <v>299</v>
      </c>
      <c r="D433" s="2" t="s">
        <v>1169</v>
      </c>
      <c r="E433" s="2" t="n">
        <v>0</v>
      </c>
      <c r="F433" s="2" t="n">
        <v>1</v>
      </c>
      <c r="G433" s="2" t="s">
        <v>32</v>
      </c>
    </row>
    <row r="434" customFormat="false" ht="15" hidden="false" customHeight="false" outlineLevel="0" collapsed="false">
      <c r="A434" s="2" t="s">
        <v>2018</v>
      </c>
      <c r="B434" s="2" t="s">
        <v>2019</v>
      </c>
      <c r="C434" s="2" t="s">
        <v>299</v>
      </c>
      <c r="D434" s="2" t="s">
        <v>1169</v>
      </c>
      <c r="E434" s="2" t="n">
        <v>0</v>
      </c>
      <c r="F434" s="2" t="n">
        <v>1</v>
      </c>
      <c r="G434" s="2" t="s">
        <v>261</v>
      </c>
    </row>
    <row r="435" customFormat="false" ht="15" hidden="false" customHeight="false" outlineLevel="0" collapsed="false">
      <c r="A435" s="2" t="s">
        <v>2020</v>
      </c>
      <c r="B435" s="2" t="s">
        <v>2021</v>
      </c>
      <c r="C435" s="2" t="s">
        <v>64</v>
      </c>
      <c r="D435" s="2" t="s">
        <v>1206</v>
      </c>
      <c r="E435" s="2" t="n">
        <v>1</v>
      </c>
      <c r="F435" s="2" t="n">
        <v>0</v>
      </c>
      <c r="G435" s="2"/>
    </row>
    <row r="436" customFormat="false" ht="15" hidden="false" customHeight="false" outlineLevel="0" collapsed="false">
      <c r="A436" s="2" t="s">
        <v>2022</v>
      </c>
      <c r="B436" s="2" t="s">
        <v>2023</v>
      </c>
      <c r="C436" s="2" t="s">
        <v>299</v>
      </c>
      <c r="D436" s="2" t="s">
        <v>1169</v>
      </c>
      <c r="E436" s="2" t="n">
        <v>0</v>
      </c>
      <c r="F436" s="2" t="n">
        <v>1</v>
      </c>
      <c r="G436" s="2" t="s">
        <v>32</v>
      </c>
    </row>
    <row r="437" customFormat="false" ht="15" hidden="false" customHeight="false" outlineLevel="0" collapsed="false">
      <c r="A437" s="2" t="s">
        <v>2024</v>
      </c>
      <c r="B437" s="2" t="s">
        <v>2025</v>
      </c>
      <c r="C437" s="2" t="s">
        <v>1465</v>
      </c>
      <c r="D437" s="2" t="s">
        <v>1169</v>
      </c>
      <c r="E437" s="2" t="n">
        <v>0</v>
      </c>
      <c r="F437" s="2" t="n">
        <v>1</v>
      </c>
      <c r="G437" s="2" t="s">
        <v>32</v>
      </c>
    </row>
    <row r="438" customFormat="false" ht="15" hidden="false" customHeight="false" outlineLevel="0" collapsed="false">
      <c r="A438" s="2" t="s">
        <v>2026</v>
      </c>
      <c r="B438" s="2" t="s">
        <v>2027</v>
      </c>
      <c r="C438" s="2" t="s">
        <v>35</v>
      </c>
      <c r="D438" s="2" t="s">
        <v>1169</v>
      </c>
      <c r="E438" s="2" t="n">
        <v>0</v>
      </c>
      <c r="F438" s="2" t="n">
        <v>2</v>
      </c>
      <c r="G438" s="2" t="s">
        <v>261</v>
      </c>
    </row>
    <row r="439" customFormat="false" ht="15" hidden="false" customHeight="false" outlineLevel="0" collapsed="false">
      <c r="A439" s="2" t="s">
        <v>2028</v>
      </c>
      <c r="B439" s="2" t="s">
        <v>2029</v>
      </c>
      <c r="C439" s="2" t="s">
        <v>2030</v>
      </c>
      <c r="D439" s="2" t="s">
        <v>1169</v>
      </c>
      <c r="E439" s="2" t="n">
        <v>0</v>
      </c>
      <c r="F439" s="2" t="n">
        <v>1</v>
      </c>
      <c r="G439" s="2" t="s">
        <v>261</v>
      </c>
    </row>
    <row r="440" customFormat="false" ht="15" hidden="false" customHeight="false" outlineLevel="0" collapsed="false">
      <c r="A440" s="2" t="s">
        <v>2031</v>
      </c>
      <c r="B440" s="2" t="s">
        <v>2032</v>
      </c>
      <c r="C440" s="2" t="s">
        <v>106</v>
      </c>
      <c r="D440" s="2" t="s">
        <v>1169</v>
      </c>
      <c r="E440" s="2" t="n">
        <v>0</v>
      </c>
      <c r="F440" s="2" t="n">
        <v>1</v>
      </c>
      <c r="G440" s="2" t="s">
        <v>261</v>
      </c>
    </row>
    <row r="441" customFormat="false" ht="15" hidden="false" customHeight="false" outlineLevel="0" collapsed="false">
      <c r="A441" s="2" t="s">
        <v>2033</v>
      </c>
      <c r="B441" s="2" t="s">
        <v>362</v>
      </c>
      <c r="C441" s="2" t="s">
        <v>363</v>
      </c>
      <c r="D441" s="2" t="s">
        <v>1206</v>
      </c>
      <c r="E441" s="2" t="n">
        <v>1</v>
      </c>
      <c r="F441" s="2" t="n">
        <v>0</v>
      </c>
      <c r="G441" s="2"/>
    </row>
    <row r="442" customFormat="false" ht="15" hidden="false" customHeight="false" outlineLevel="0" collapsed="false">
      <c r="A442" s="2" t="s">
        <v>2034</v>
      </c>
      <c r="B442" s="2" t="s">
        <v>2035</v>
      </c>
      <c r="C442" s="2" t="s">
        <v>20</v>
      </c>
      <c r="D442" s="2" t="s">
        <v>1169</v>
      </c>
      <c r="E442" s="2" t="n">
        <v>0</v>
      </c>
      <c r="F442" s="2" t="n">
        <v>1</v>
      </c>
      <c r="G442" s="2" t="s">
        <v>261</v>
      </c>
    </row>
    <row r="443" customFormat="false" ht="15" hidden="false" customHeight="false" outlineLevel="0" collapsed="false">
      <c r="A443" s="2" t="s">
        <v>2036</v>
      </c>
      <c r="B443" s="2" t="s">
        <v>2037</v>
      </c>
      <c r="C443" s="2" t="s">
        <v>90</v>
      </c>
      <c r="D443" s="2" t="s">
        <v>1206</v>
      </c>
      <c r="E443" s="2" t="n">
        <v>1</v>
      </c>
      <c r="F443" s="2" t="n">
        <v>0</v>
      </c>
      <c r="G443" s="2"/>
    </row>
    <row r="444" customFormat="false" ht="15" hidden="false" customHeight="false" outlineLevel="0" collapsed="false">
      <c r="A444" s="2" t="s">
        <v>2038</v>
      </c>
      <c r="B444" s="2" t="s">
        <v>2039</v>
      </c>
      <c r="C444" s="2" t="s">
        <v>52</v>
      </c>
      <c r="D444" s="2" t="s">
        <v>1169</v>
      </c>
      <c r="E444" s="2" t="n">
        <v>0</v>
      </c>
      <c r="F444" s="2" t="n">
        <v>1</v>
      </c>
      <c r="G444" s="2" t="s">
        <v>261</v>
      </c>
    </row>
    <row r="445" customFormat="false" ht="15" hidden="false" customHeight="false" outlineLevel="0" collapsed="false">
      <c r="A445" s="2" t="s">
        <v>2040</v>
      </c>
      <c r="B445" s="2" t="s">
        <v>2041</v>
      </c>
      <c r="C445" s="2" t="s">
        <v>90</v>
      </c>
      <c r="D445" s="2" t="s">
        <v>1206</v>
      </c>
      <c r="E445" s="2" t="n">
        <v>1</v>
      </c>
      <c r="F445" s="2" t="n">
        <v>0</v>
      </c>
      <c r="G445" s="2"/>
    </row>
    <row r="446" customFormat="false" ht="15" hidden="false" customHeight="false" outlineLevel="0" collapsed="false">
      <c r="A446" s="2" t="s">
        <v>2042</v>
      </c>
      <c r="B446" s="2" t="s">
        <v>2043</v>
      </c>
      <c r="C446" s="2" t="s">
        <v>90</v>
      </c>
      <c r="D446" s="2" t="s">
        <v>1169</v>
      </c>
      <c r="E446" s="2" t="n">
        <v>0</v>
      </c>
      <c r="F446" s="2" t="n">
        <v>1</v>
      </c>
      <c r="G446" s="2" t="s">
        <v>261</v>
      </c>
    </row>
    <row r="447" customFormat="false" ht="15" hidden="false" customHeight="false" outlineLevel="0" collapsed="false">
      <c r="A447" s="2" t="s">
        <v>2044</v>
      </c>
      <c r="B447" s="2" t="s">
        <v>2045</v>
      </c>
      <c r="C447" s="2" t="s">
        <v>299</v>
      </c>
      <c r="D447" s="2" t="s">
        <v>1169</v>
      </c>
      <c r="E447" s="2" t="n">
        <v>0</v>
      </c>
      <c r="F447" s="2" t="n">
        <v>1</v>
      </c>
      <c r="G447" s="2" t="s">
        <v>261</v>
      </c>
    </row>
    <row r="448" customFormat="false" ht="15" hidden="false" customHeight="false" outlineLevel="0" collapsed="false">
      <c r="A448" s="2" t="s">
        <v>2046</v>
      </c>
      <c r="B448" s="2" t="s">
        <v>2047</v>
      </c>
      <c r="C448" s="2" t="s">
        <v>299</v>
      </c>
      <c r="D448" s="2" t="s">
        <v>1169</v>
      </c>
      <c r="E448" s="2" t="n">
        <v>0</v>
      </c>
      <c r="F448" s="2" t="n">
        <v>2</v>
      </c>
      <c r="G448" s="2" t="s">
        <v>261</v>
      </c>
    </row>
    <row r="449" customFormat="false" ht="15" hidden="false" customHeight="false" outlineLevel="0" collapsed="false">
      <c r="A449" s="2" t="s">
        <v>2048</v>
      </c>
      <c r="B449" s="2" t="s">
        <v>2049</v>
      </c>
      <c r="C449" s="2" t="s">
        <v>299</v>
      </c>
      <c r="D449" s="2" t="s">
        <v>1169</v>
      </c>
      <c r="E449" s="2" t="n">
        <v>0</v>
      </c>
      <c r="F449" s="2" t="n">
        <v>1</v>
      </c>
      <c r="G449" s="2" t="s">
        <v>261</v>
      </c>
    </row>
    <row r="450" customFormat="false" ht="15" hidden="false" customHeight="false" outlineLevel="0" collapsed="false">
      <c r="A450" s="2" t="s">
        <v>2050</v>
      </c>
      <c r="B450" s="2" t="s">
        <v>2051</v>
      </c>
      <c r="C450" s="2" t="s">
        <v>299</v>
      </c>
      <c r="D450" s="2" t="s">
        <v>1169</v>
      </c>
      <c r="E450" s="2" t="n">
        <v>0</v>
      </c>
      <c r="F450" s="2" t="n">
        <v>1</v>
      </c>
      <c r="G450" s="2" t="s">
        <v>32</v>
      </c>
    </row>
    <row r="451" customFormat="false" ht="15" hidden="false" customHeight="false" outlineLevel="0" collapsed="false">
      <c r="A451" s="2" t="s">
        <v>2052</v>
      </c>
      <c r="B451" s="2" t="s">
        <v>2053</v>
      </c>
      <c r="C451" s="2" t="s">
        <v>440</v>
      </c>
      <c r="D451" s="2" t="s">
        <v>1169</v>
      </c>
      <c r="E451" s="2" t="n">
        <v>0</v>
      </c>
      <c r="F451" s="2" t="n">
        <v>2</v>
      </c>
      <c r="G451" s="2" t="s">
        <v>261</v>
      </c>
    </row>
    <row r="452" customFormat="false" ht="15" hidden="false" customHeight="false" outlineLevel="0" collapsed="false">
      <c r="A452" s="2" t="s">
        <v>2054</v>
      </c>
      <c r="B452" s="2" t="s">
        <v>2055</v>
      </c>
      <c r="C452" s="2" t="s">
        <v>202</v>
      </c>
      <c r="D452" s="2" t="s">
        <v>1169</v>
      </c>
      <c r="E452" s="2" t="n">
        <v>0</v>
      </c>
      <c r="F452" s="2" t="n">
        <v>1</v>
      </c>
      <c r="G452" s="2" t="s">
        <v>32</v>
      </c>
    </row>
    <row r="453" customFormat="false" ht="15" hidden="false" customHeight="false" outlineLevel="0" collapsed="false">
      <c r="A453" s="2" t="s">
        <v>2056</v>
      </c>
      <c r="B453" s="2" t="s">
        <v>2057</v>
      </c>
      <c r="C453" s="2" t="s">
        <v>52</v>
      </c>
      <c r="D453" s="2" t="s">
        <v>1169</v>
      </c>
      <c r="E453" s="2" t="n">
        <v>0</v>
      </c>
      <c r="F453" s="2" t="n">
        <v>1</v>
      </c>
      <c r="G453" s="2" t="s">
        <v>261</v>
      </c>
    </row>
    <row r="454" customFormat="false" ht="15" hidden="false" customHeight="false" outlineLevel="0" collapsed="false">
      <c r="A454" s="2" t="s">
        <v>2058</v>
      </c>
      <c r="B454" s="2" t="s">
        <v>2059</v>
      </c>
      <c r="C454" s="2" t="s">
        <v>106</v>
      </c>
      <c r="D454" s="2" t="s">
        <v>1206</v>
      </c>
      <c r="E454" s="2" t="n">
        <v>2</v>
      </c>
      <c r="F454" s="2" t="n">
        <v>0</v>
      </c>
      <c r="G454" s="2"/>
    </row>
    <row r="455" customFormat="false" ht="15" hidden="false" customHeight="false" outlineLevel="0" collapsed="false">
      <c r="A455" s="2" t="s">
        <v>2060</v>
      </c>
      <c r="B455" s="2" t="s">
        <v>2061</v>
      </c>
      <c r="C455" s="2" t="s">
        <v>299</v>
      </c>
      <c r="D455" s="2" t="s">
        <v>1169</v>
      </c>
      <c r="E455" s="2" t="n">
        <v>0</v>
      </c>
      <c r="F455" s="2" t="n">
        <v>1</v>
      </c>
      <c r="G455" s="2" t="s">
        <v>261</v>
      </c>
    </row>
    <row r="456" customFormat="false" ht="15" hidden="false" customHeight="false" outlineLevel="0" collapsed="false">
      <c r="A456" s="2" t="s">
        <v>2062</v>
      </c>
      <c r="B456" s="2" t="s">
        <v>2063</v>
      </c>
      <c r="C456" s="2" t="s">
        <v>20</v>
      </c>
      <c r="D456" s="2" t="s">
        <v>1169</v>
      </c>
      <c r="E456" s="2" t="n">
        <v>0</v>
      </c>
      <c r="F456" s="2" t="n">
        <v>1</v>
      </c>
      <c r="G456" s="2" t="s">
        <v>32</v>
      </c>
    </row>
    <row r="457" customFormat="false" ht="15" hidden="false" customHeight="false" outlineLevel="0" collapsed="false">
      <c r="A457" s="2" t="s">
        <v>2064</v>
      </c>
      <c r="B457" s="2" t="s">
        <v>2065</v>
      </c>
      <c r="C457" s="2" t="s">
        <v>1604</v>
      </c>
      <c r="D457" s="2" t="s">
        <v>1169</v>
      </c>
      <c r="E457" s="2" t="n">
        <v>0</v>
      </c>
      <c r="F457" s="2" t="n">
        <v>1</v>
      </c>
      <c r="G457" s="2" t="s">
        <v>32</v>
      </c>
    </row>
    <row r="458" customFormat="false" ht="15" hidden="false" customHeight="false" outlineLevel="0" collapsed="false">
      <c r="A458" s="2" t="s">
        <v>2066</v>
      </c>
      <c r="B458" s="2" t="s">
        <v>2067</v>
      </c>
      <c r="C458" s="2" t="s">
        <v>363</v>
      </c>
      <c r="D458" s="2" t="s">
        <v>1169</v>
      </c>
      <c r="E458" s="2" t="n">
        <v>0</v>
      </c>
      <c r="F458" s="2" t="n">
        <v>1</v>
      </c>
      <c r="G458" s="2" t="s">
        <v>32</v>
      </c>
    </row>
    <row r="459" customFormat="false" ht="15" hidden="false" customHeight="false" outlineLevel="0" collapsed="false">
      <c r="A459" s="2" t="s">
        <v>2068</v>
      </c>
      <c r="B459" s="2" t="s">
        <v>2069</v>
      </c>
      <c r="C459" s="2" t="s">
        <v>35</v>
      </c>
      <c r="D459" s="2" t="s">
        <v>1169</v>
      </c>
      <c r="E459" s="2" t="n">
        <v>0</v>
      </c>
      <c r="F459" s="2" t="n">
        <v>1</v>
      </c>
      <c r="G459" s="2" t="s">
        <v>261</v>
      </c>
    </row>
    <row r="460" customFormat="false" ht="15" hidden="false" customHeight="false" outlineLevel="0" collapsed="false">
      <c r="A460" s="2" t="s">
        <v>2070</v>
      </c>
      <c r="B460" s="2" t="s">
        <v>2071</v>
      </c>
      <c r="C460" s="2" t="s">
        <v>20</v>
      </c>
      <c r="D460" s="2" t="s">
        <v>1169</v>
      </c>
      <c r="E460" s="2" t="n">
        <v>0</v>
      </c>
      <c r="F460" s="2" t="n">
        <v>1</v>
      </c>
      <c r="G460" s="2" t="s">
        <v>261</v>
      </c>
    </row>
    <row r="461" customFormat="false" ht="15" hidden="false" customHeight="false" outlineLevel="0" collapsed="false">
      <c r="A461" s="2" t="s">
        <v>2072</v>
      </c>
      <c r="B461" s="2" t="s">
        <v>2073</v>
      </c>
      <c r="C461" s="2" t="s">
        <v>73</v>
      </c>
      <c r="D461" s="2" t="s">
        <v>1169</v>
      </c>
      <c r="E461" s="2" t="n">
        <v>0</v>
      </c>
      <c r="F461" s="2" t="n">
        <v>1</v>
      </c>
      <c r="G461" s="2" t="s">
        <v>261</v>
      </c>
    </row>
    <row r="462" customFormat="false" ht="15" hidden="false" customHeight="false" outlineLevel="0" collapsed="false">
      <c r="A462" s="2" t="s">
        <v>2074</v>
      </c>
      <c r="B462" s="2" t="s">
        <v>2075</v>
      </c>
      <c r="C462" s="2" t="s">
        <v>35</v>
      </c>
      <c r="D462" s="2" t="s">
        <v>1169</v>
      </c>
      <c r="E462" s="2" t="n">
        <v>0</v>
      </c>
      <c r="F462" s="2" t="n">
        <v>1</v>
      </c>
      <c r="G462" s="2" t="s">
        <v>32</v>
      </c>
    </row>
    <row r="463" customFormat="false" ht="15" hidden="false" customHeight="false" outlineLevel="0" collapsed="false">
      <c r="A463" s="2" t="s">
        <v>2076</v>
      </c>
      <c r="B463" s="2" t="s">
        <v>2077</v>
      </c>
      <c r="C463" s="2" t="s">
        <v>299</v>
      </c>
      <c r="D463" s="2" t="s">
        <v>1169</v>
      </c>
      <c r="E463" s="2" t="n">
        <v>0</v>
      </c>
      <c r="F463" s="2" t="n">
        <v>1</v>
      </c>
      <c r="G463" s="2" t="s">
        <v>261</v>
      </c>
    </row>
    <row r="464" customFormat="false" ht="15" hidden="false" customHeight="false" outlineLevel="0" collapsed="false">
      <c r="A464" s="2" t="s">
        <v>2078</v>
      </c>
      <c r="B464" s="2" t="s">
        <v>2079</v>
      </c>
      <c r="C464" s="2" t="s">
        <v>299</v>
      </c>
      <c r="D464" s="2" t="s">
        <v>1169</v>
      </c>
      <c r="E464" s="2" t="n">
        <v>0</v>
      </c>
      <c r="F464" s="2" t="n">
        <v>1</v>
      </c>
      <c r="G464" s="2" t="s">
        <v>261</v>
      </c>
    </row>
    <row r="465" customFormat="false" ht="15" hidden="false" customHeight="false" outlineLevel="0" collapsed="false">
      <c r="A465" s="2" t="s">
        <v>2080</v>
      </c>
      <c r="B465" s="2" t="s">
        <v>2081</v>
      </c>
      <c r="C465" s="2" t="s">
        <v>363</v>
      </c>
      <c r="D465" s="2" t="s">
        <v>1169</v>
      </c>
      <c r="E465" s="2" t="n">
        <v>0</v>
      </c>
      <c r="F465" s="2" t="n">
        <v>1</v>
      </c>
      <c r="G465" s="2" t="s">
        <v>32</v>
      </c>
    </row>
    <row r="466" customFormat="false" ht="15" hidden="false" customHeight="false" outlineLevel="0" collapsed="false">
      <c r="A466" s="2" t="s">
        <v>2082</v>
      </c>
      <c r="B466" s="2" t="s">
        <v>2083</v>
      </c>
      <c r="C466" s="2" t="s">
        <v>52</v>
      </c>
      <c r="D466" s="2" t="s">
        <v>1206</v>
      </c>
      <c r="E466" s="2" t="n">
        <v>1</v>
      </c>
      <c r="F466" s="2" t="n">
        <v>1</v>
      </c>
      <c r="G466" s="2" t="s">
        <v>32</v>
      </c>
    </row>
    <row r="467" customFormat="false" ht="15" hidden="false" customHeight="false" outlineLevel="0" collapsed="false">
      <c r="A467" s="2" t="s">
        <v>2084</v>
      </c>
      <c r="B467" s="2" t="s">
        <v>2085</v>
      </c>
      <c r="C467" s="2" t="s">
        <v>942</v>
      </c>
      <c r="D467" s="2" t="s">
        <v>1206</v>
      </c>
      <c r="E467" s="2" t="n">
        <v>1</v>
      </c>
      <c r="F467" s="2" t="n">
        <v>0</v>
      </c>
      <c r="G467" s="2"/>
    </row>
    <row r="468" customFormat="false" ht="15" hidden="false" customHeight="false" outlineLevel="0" collapsed="false">
      <c r="A468" s="2" t="s">
        <v>2086</v>
      </c>
      <c r="B468" s="2" t="s">
        <v>2087</v>
      </c>
      <c r="C468" s="2" t="s">
        <v>2088</v>
      </c>
      <c r="D468" s="2" t="s">
        <v>1206</v>
      </c>
      <c r="E468" s="2" t="n">
        <v>1</v>
      </c>
      <c r="F468" s="2" t="n">
        <v>0</v>
      </c>
      <c r="G468" s="2"/>
    </row>
    <row r="469" customFormat="false" ht="15" hidden="false" customHeight="false" outlineLevel="0" collapsed="false">
      <c r="A469" s="2" t="s">
        <v>2089</v>
      </c>
      <c r="B469" s="2" t="s">
        <v>2090</v>
      </c>
      <c r="C469" s="2" t="s">
        <v>64</v>
      </c>
      <c r="D469" s="2" t="s">
        <v>1206</v>
      </c>
      <c r="E469" s="2" t="n">
        <v>1</v>
      </c>
      <c r="F469" s="2" t="n">
        <v>0</v>
      </c>
      <c r="G469" s="2"/>
    </row>
    <row r="470" customFormat="false" ht="15" hidden="false" customHeight="false" outlineLevel="0" collapsed="false">
      <c r="A470" s="2" t="s">
        <v>2091</v>
      </c>
      <c r="B470" s="2" t="s">
        <v>2092</v>
      </c>
      <c r="C470" s="2" t="s">
        <v>20</v>
      </c>
      <c r="D470" s="2" t="s">
        <v>1169</v>
      </c>
      <c r="E470" s="2" t="n">
        <v>0</v>
      </c>
      <c r="F470" s="2" t="n">
        <v>1</v>
      </c>
      <c r="G470" s="2" t="s">
        <v>32</v>
      </c>
    </row>
    <row r="471" customFormat="false" ht="15" hidden="false" customHeight="false" outlineLevel="0" collapsed="false">
      <c r="A471" s="2" t="s">
        <v>2093</v>
      </c>
      <c r="B471" s="2" t="s">
        <v>2094</v>
      </c>
      <c r="C471" s="2" t="s">
        <v>20</v>
      </c>
      <c r="D471" s="2" t="s">
        <v>1169</v>
      </c>
      <c r="E471" s="2" t="n">
        <v>0</v>
      </c>
      <c r="F471" s="2" t="n">
        <v>1</v>
      </c>
      <c r="G471" s="2" t="s">
        <v>261</v>
      </c>
    </row>
    <row r="472" customFormat="false" ht="15" hidden="false" customHeight="false" outlineLevel="0" collapsed="false">
      <c r="A472" s="2" t="s">
        <v>2095</v>
      </c>
      <c r="B472" s="2" t="s">
        <v>2096</v>
      </c>
      <c r="C472" s="2" t="s">
        <v>52</v>
      </c>
      <c r="D472" s="2" t="s">
        <v>1206</v>
      </c>
      <c r="E472" s="2" t="n">
        <v>1</v>
      </c>
      <c r="F472" s="2" t="n">
        <v>1</v>
      </c>
      <c r="G472" s="2" t="s">
        <v>32</v>
      </c>
    </row>
    <row r="473" customFormat="false" ht="15" hidden="false" customHeight="false" outlineLevel="0" collapsed="false">
      <c r="A473" s="2" t="s">
        <v>2097</v>
      </c>
      <c r="B473" s="2" t="s">
        <v>2098</v>
      </c>
      <c r="C473" s="2" t="s">
        <v>904</v>
      </c>
      <c r="D473" s="2" t="s">
        <v>1169</v>
      </c>
      <c r="E473" s="2" t="n">
        <v>0</v>
      </c>
      <c r="F473" s="2" t="n">
        <v>1</v>
      </c>
      <c r="G473" s="2" t="s">
        <v>261</v>
      </c>
    </row>
    <row r="474" customFormat="false" ht="15" hidden="false" customHeight="false" outlineLevel="0" collapsed="false">
      <c r="A474" s="2" t="s">
        <v>2099</v>
      </c>
      <c r="B474" s="2" t="s">
        <v>628</v>
      </c>
      <c r="C474" s="2" t="s">
        <v>52</v>
      </c>
      <c r="D474" s="2" t="s">
        <v>1206</v>
      </c>
      <c r="E474" s="2" t="n">
        <v>1</v>
      </c>
      <c r="F474" s="2" t="n">
        <v>0</v>
      </c>
      <c r="G474" s="2"/>
    </row>
    <row r="475" customFormat="false" ht="15" hidden="false" customHeight="false" outlineLevel="0" collapsed="false">
      <c r="A475" s="2" t="s">
        <v>2100</v>
      </c>
      <c r="B475" s="2" t="s">
        <v>2101</v>
      </c>
      <c r="C475" s="2" t="s">
        <v>299</v>
      </c>
      <c r="D475" s="2" t="s">
        <v>1169</v>
      </c>
      <c r="E475" s="2" t="n">
        <v>0</v>
      </c>
      <c r="F475" s="2" t="n">
        <v>1</v>
      </c>
      <c r="G475" s="2" t="s">
        <v>32</v>
      </c>
    </row>
    <row r="476" customFormat="false" ht="15" hidden="false" customHeight="false" outlineLevel="0" collapsed="false">
      <c r="A476" s="2" t="s">
        <v>2102</v>
      </c>
      <c r="B476" s="2" t="s">
        <v>2103</v>
      </c>
      <c r="C476" s="2" t="s">
        <v>355</v>
      </c>
      <c r="D476" s="2" t="s">
        <v>1169</v>
      </c>
      <c r="E476" s="2" t="n">
        <v>0</v>
      </c>
      <c r="F476" s="2" t="n">
        <v>1</v>
      </c>
      <c r="G476" s="2" t="s">
        <v>32</v>
      </c>
    </row>
    <row r="477" customFormat="false" ht="15" hidden="false" customHeight="false" outlineLevel="0" collapsed="false">
      <c r="A477" s="2" t="s">
        <v>2104</v>
      </c>
      <c r="B477" s="2" t="s">
        <v>2105</v>
      </c>
      <c r="C477" s="2" t="s">
        <v>193</v>
      </c>
      <c r="D477" s="2" t="s">
        <v>1206</v>
      </c>
      <c r="E477" s="2" t="n">
        <v>1</v>
      </c>
      <c r="F477" s="2" t="n">
        <v>0</v>
      </c>
      <c r="G477" s="2"/>
    </row>
    <row r="478" customFormat="false" ht="15" hidden="false" customHeight="false" outlineLevel="0" collapsed="false">
      <c r="A478" s="2" t="s">
        <v>2106</v>
      </c>
      <c r="B478" s="2" t="s">
        <v>2107</v>
      </c>
      <c r="C478" s="2" t="s">
        <v>323</v>
      </c>
      <c r="D478" s="2" t="s">
        <v>1206</v>
      </c>
      <c r="E478" s="2" t="n">
        <v>1</v>
      </c>
      <c r="F478" s="2" t="n">
        <v>0</v>
      </c>
      <c r="G478" s="2"/>
    </row>
    <row r="479" customFormat="false" ht="15" hidden="false" customHeight="false" outlineLevel="0" collapsed="false">
      <c r="A479" s="2" t="s">
        <v>2108</v>
      </c>
      <c r="B479" s="2" t="s">
        <v>2109</v>
      </c>
      <c r="C479" s="2" t="s">
        <v>52</v>
      </c>
      <c r="D479" s="2" t="s">
        <v>1206</v>
      </c>
      <c r="E479" s="2" t="n">
        <v>1</v>
      </c>
      <c r="F479" s="2" t="n">
        <v>0</v>
      </c>
      <c r="G479" s="2"/>
    </row>
    <row r="480" customFormat="false" ht="15" hidden="false" customHeight="false" outlineLevel="0" collapsed="false">
      <c r="A480" s="2" t="s">
        <v>2110</v>
      </c>
      <c r="B480" s="2" t="s">
        <v>2111</v>
      </c>
      <c r="C480" s="2" t="s">
        <v>52</v>
      </c>
      <c r="D480" s="2" t="s">
        <v>1206</v>
      </c>
      <c r="E480" s="2" t="n">
        <v>2</v>
      </c>
      <c r="F480" s="2" t="n">
        <v>0</v>
      </c>
      <c r="G480" s="2"/>
    </row>
    <row r="481" customFormat="false" ht="15" hidden="false" customHeight="false" outlineLevel="0" collapsed="false">
      <c r="A481" s="2" t="s">
        <v>2112</v>
      </c>
      <c r="B481" s="2" t="s">
        <v>2113</v>
      </c>
      <c r="C481" s="2" t="s">
        <v>355</v>
      </c>
      <c r="D481" s="2" t="s">
        <v>1169</v>
      </c>
      <c r="E481" s="2" t="n">
        <v>0</v>
      </c>
      <c r="F481" s="2" t="n">
        <v>1</v>
      </c>
      <c r="G481" s="2" t="s">
        <v>32</v>
      </c>
    </row>
    <row r="482" customFormat="false" ht="15" hidden="false" customHeight="false" outlineLevel="0" collapsed="false">
      <c r="A482" s="2" t="s">
        <v>2114</v>
      </c>
      <c r="B482" s="2" t="s">
        <v>2115</v>
      </c>
      <c r="C482" s="2" t="s">
        <v>20</v>
      </c>
      <c r="D482" s="2" t="s">
        <v>1169</v>
      </c>
      <c r="E482" s="2" t="n">
        <v>0</v>
      </c>
      <c r="F482" s="2" t="n">
        <v>1</v>
      </c>
      <c r="G482" s="2" t="s">
        <v>261</v>
      </c>
    </row>
    <row r="483" customFormat="false" ht="15" hidden="false" customHeight="false" outlineLevel="0" collapsed="false">
      <c r="A483" s="2" t="s">
        <v>2116</v>
      </c>
      <c r="B483" s="2" t="s">
        <v>2117</v>
      </c>
      <c r="C483" s="2" t="s">
        <v>2118</v>
      </c>
      <c r="D483" s="2" t="s">
        <v>1206</v>
      </c>
      <c r="E483" s="2" t="n">
        <v>1</v>
      </c>
      <c r="F483" s="2" t="n">
        <v>0</v>
      </c>
      <c r="G483" s="2"/>
    </row>
    <row r="484" customFormat="false" ht="15" hidden="false" customHeight="false" outlineLevel="0" collapsed="false">
      <c r="A484" s="2" t="s">
        <v>2119</v>
      </c>
      <c r="B484" s="2" t="s">
        <v>2120</v>
      </c>
      <c r="C484" s="2" t="s">
        <v>20</v>
      </c>
      <c r="D484" s="2" t="s">
        <v>1169</v>
      </c>
      <c r="E484" s="2" t="n">
        <v>0</v>
      </c>
      <c r="F484" s="2" t="n">
        <v>1</v>
      </c>
      <c r="G484" s="2" t="s">
        <v>261</v>
      </c>
    </row>
    <row r="485" customFormat="false" ht="15" hidden="false" customHeight="false" outlineLevel="0" collapsed="false">
      <c r="A485" s="2" t="s">
        <v>2121</v>
      </c>
      <c r="B485" s="2" t="s">
        <v>2122</v>
      </c>
      <c r="C485" s="2" t="s">
        <v>52</v>
      </c>
      <c r="D485" s="2" t="s">
        <v>1169</v>
      </c>
      <c r="E485" s="2" t="n">
        <v>0</v>
      </c>
      <c r="F485" s="2" t="n">
        <v>1</v>
      </c>
      <c r="G485" s="2" t="s">
        <v>32</v>
      </c>
    </row>
    <row r="486" customFormat="false" ht="15" hidden="false" customHeight="false" outlineLevel="0" collapsed="false">
      <c r="A486" s="2" t="s">
        <v>2123</v>
      </c>
      <c r="B486" s="2" t="s">
        <v>2124</v>
      </c>
      <c r="C486" s="2" t="s">
        <v>355</v>
      </c>
      <c r="D486" s="2" t="s">
        <v>1169</v>
      </c>
      <c r="E486" s="2" t="n">
        <v>0</v>
      </c>
      <c r="F486" s="2" t="n">
        <v>1</v>
      </c>
      <c r="G486" s="2" t="s">
        <v>32</v>
      </c>
    </row>
    <row r="487" customFormat="false" ht="15" hidden="false" customHeight="false" outlineLevel="0" collapsed="false">
      <c r="A487" s="2" t="s">
        <v>2125</v>
      </c>
      <c r="B487" s="2" t="s">
        <v>2126</v>
      </c>
      <c r="C487" s="2" t="s">
        <v>427</v>
      </c>
      <c r="D487" s="2" t="s">
        <v>1169</v>
      </c>
      <c r="E487" s="2" t="n">
        <v>0</v>
      </c>
      <c r="F487" s="2" t="n">
        <v>1</v>
      </c>
      <c r="G487" s="2" t="s">
        <v>261</v>
      </c>
    </row>
    <row r="488" customFormat="false" ht="15" hidden="false" customHeight="false" outlineLevel="0" collapsed="false">
      <c r="A488" s="2" t="s">
        <v>2127</v>
      </c>
      <c r="B488" s="2" t="s">
        <v>2128</v>
      </c>
      <c r="C488" s="2" t="s">
        <v>20</v>
      </c>
      <c r="D488" s="2" t="s">
        <v>1169</v>
      </c>
      <c r="E488" s="2" t="n">
        <v>0</v>
      </c>
      <c r="F488" s="2" t="n">
        <v>1</v>
      </c>
      <c r="G488" s="2" t="s">
        <v>261</v>
      </c>
    </row>
    <row r="489" customFormat="false" ht="15" hidden="false" customHeight="false" outlineLevel="0" collapsed="false">
      <c r="A489" s="2" t="s">
        <v>2129</v>
      </c>
      <c r="B489" s="2" t="s">
        <v>2130</v>
      </c>
      <c r="C489" s="2" t="s">
        <v>52</v>
      </c>
      <c r="D489" s="2" t="s">
        <v>1169</v>
      </c>
      <c r="E489" s="2" t="n">
        <v>0</v>
      </c>
      <c r="F489" s="2" t="n">
        <v>1</v>
      </c>
      <c r="G489" s="2" t="s">
        <v>32</v>
      </c>
    </row>
    <row r="490" customFormat="false" ht="15" hidden="false" customHeight="false" outlineLevel="0" collapsed="false">
      <c r="A490" s="2" t="s">
        <v>2131</v>
      </c>
      <c r="B490" s="2" t="s">
        <v>2132</v>
      </c>
      <c r="C490" s="2" t="s">
        <v>299</v>
      </c>
      <c r="D490" s="2" t="s">
        <v>1169</v>
      </c>
      <c r="E490" s="2" t="n">
        <v>0</v>
      </c>
      <c r="F490" s="2" t="n">
        <v>1</v>
      </c>
      <c r="G490" s="2" t="s">
        <v>32</v>
      </c>
    </row>
    <row r="491" customFormat="false" ht="15" hidden="false" customHeight="false" outlineLevel="0" collapsed="false">
      <c r="A491" s="2" t="s">
        <v>2133</v>
      </c>
      <c r="B491" s="2" t="s">
        <v>466</v>
      </c>
      <c r="C491" s="2" t="s">
        <v>52</v>
      </c>
      <c r="D491" s="2" t="s">
        <v>1206</v>
      </c>
      <c r="E491" s="2" t="n">
        <v>2</v>
      </c>
      <c r="F491" s="2" t="n">
        <v>0</v>
      </c>
      <c r="G491" s="2"/>
    </row>
    <row r="492" customFormat="false" ht="15" hidden="false" customHeight="false" outlineLevel="0" collapsed="false">
      <c r="A492" s="2" t="s">
        <v>2134</v>
      </c>
      <c r="B492" s="2" t="s">
        <v>2135</v>
      </c>
      <c r="C492" s="2" t="s">
        <v>299</v>
      </c>
      <c r="D492" s="2" t="s">
        <v>1169</v>
      </c>
      <c r="E492" s="2" t="n">
        <v>0</v>
      </c>
      <c r="F492" s="2" t="n">
        <v>1</v>
      </c>
      <c r="G492" s="2" t="s">
        <v>32</v>
      </c>
    </row>
    <row r="493" customFormat="false" ht="15" hidden="false" customHeight="false" outlineLevel="0" collapsed="false">
      <c r="A493" s="2" t="s">
        <v>2136</v>
      </c>
      <c r="B493" s="2" t="s">
        <v>2137</v>
      </c>
      <c r="C493" s="2" t="s">
        <v>299</v>
      </c>
      <c r="D493" s="2" t="s">
        <v>1169</v>
      </c>
      <c r="E493" s="2" t="n">
        <v>0</v>
      </c>
      <c r="F493" s="2" t="n">
        <v>1</v>
      </c>
      <c r="G493" s="2" t="s">
        <v>32</v>
      </c>
    </row>
    <row r="494" customFormat="false" ht="15" hidden="false" customHeight="false" outlineLevel="0" collapsed="false">
      <c r="A494" s="2" t="s">
        <v>2138</v>
      </c>
      <c r="B494" s="2" t="s">
        <v>2139</v>
      </c>
      <c r="C494" s="2" t="s">
        <v>20</v>
      </c>
      <c r="D494" s="2" t="s">
        <v>1169</v>
      </c>
      <c r="E494" s="2" t="n">
        <v>0</v>
      </c>
      <c r="F494" s="2" t="n">
        <v>1</v>
      </c>
      <c r="G494" s="2" t="s">
        <v>261</v>
      </c>
    </row>
    <row r="495" customFormat="false" ht="15" hidden="false" customHeight="false" outlineLevel="0" collapsed="false">
      <c r="A495" s="2" t="s">
        <v>2140</v>
      </c>
      <c r="B495" s="2" t="s">
        <v>2141</v>
      </c>
      <c r="C495" s="2" t="s">
        <v>20</v>
      </c>
      <c r="D495" s="2" t="s">
        <v>1169</v>
      </c>
      <c r="E495" s="2" t="n">
        <v>0</v>
      </c>
      <c r="F495" s="2" t="n">
        <v>1</v>
      </c>
      <c r="G495" s="2" t="s">
        <v>261</v>
      </c>
    </row>
    <row r="496" customFormat="false" ht="15" hidden="false" customHeight="false" outlineLevel="0" collapsed="false">
      <c r="A496" s="2" t="s">
        <v>2142</v>
      </c>
      <c r="B496" s="2" t="s">
        <v>2143</v>
      </c>
      <c r="C496" s="2" t="s">
        <v>427</v>
      </c>
      <c r="D496" s="2" t="s">
        <v>1169</v>
      </c>
      <c r="E496" s="2" t="n">
        <v>0</v>
      </c>
      <c r="F496" s="2" t="n">
        <v>1</v>
      </c>
      <c r="G496" s="2" t="s">
        <v>32</v>
      </c>
    </row>
    <row r="497" customFormat="false" ht="15" hidden="false" customHeight="false" outlineLevel="0" collapsed="false">
      <c r="A497" s="2" t="s">
        <v>2144</v>
      </c>
      <c r="B497" s="2" t="s">
        <v>2145</v>
      </c>
      <c r="C497" s="2" t="s">
        <v>299</v>
      </c>
      <c r="D497" s="2" t="s">
        <v>1169</v>
      </c>
      <c r="E497" s="2" t="n">
        <v>0</v>
      </c>
      <c r="F497" s="2" t="n">
        <v>1</v>
      </c>
      <c r="G497" s="2" t="s">
        <v>261</v>
      </c>
    </row>
    <row r="498" customFormat="false" ht="15" hidden="false" customHeight="false" outlineLevel="0" collapsed="false">
      <c r="A498" s="2" t="s">
        <v>2146</v>
      </c>
      <c r="B498" s="2" t="s">
        <v>2147</v>
      </c>
      <c r="C498" s="2" t="s">
        <v>20</v>
      </c>
      <c r="D498" s="2" t="s">
        <v>1169</v>
      </c>
      <c r="E498" s="2" t="n">
        <v>0</v>
      </c>
      <c r="F498" s="2" t="n">
        <v>1</v>
      </c>
      <c r="G498" s="2" t="s">
        <v>261</v>
      </c>
    </row>
    <row r="499" customFormat="false" ht="15" hidden="false" customHeight="false" outlineLevel="0" collapsed="false">
      <c r="A499" s="2" t="s">
        <v>2148</v>
      </c>
      <c r="B499" s="2" t="s">
        <v>2149</v>
      </c>
      <c r="C499" s="2" t="s">
        <v>35</v>
      </c>
      <c r="D499" s="2" t="s">
        <v>1206</v>
      </c>
      <c r="E499" s="2" t="n">
        <v>1</v>
      </c>
      <c r="F499" s="2" t="n">
        <v>0</v>
      </c>
      <c r="G499" s="2"/>
    </row>
    <row r="500" customFormat="false" ht="15" hidden="false" customHeight="false" outlineLevel="0" collapsed="false">
      <c r="A500" s="2" t="s">
        <v>2150</v>
      </c>
      <c r="B500" s="2" t="s">
        <v>2151</v>
      </c>
      <c r="C500" s="2" t="s">
        <v>35</v>
      </c>
      <c r="D500" s="2" t="s">
        <v>1206</v>
      </c>
      <c r="E500" s="2" t="n">
        <v>1</v>
      </c>
      <c r="F500" s="2" t="n">
        <v>0</v>
      </c>
      <c r="G500" s="2"/>
    </row>
    <row r="501" customFormat="false" ht="15" hidden="false" customHeight="false" outlineLevel="0" collapsed="false">
      <c r="A501" s="2" t="s">
        <v>2152</v>
      </c>
      <c r="B501" s="2" t="s">
        <v>2153</v>
      </c>
      <c r="C501" s="2" t="s">
        <v>35</v>
      </c>
      <c r="D501" s="2" t="s">
        <v>1206</v>
      </c>
      <c r="E501" s="2" t="n">
        <v>1</v>
      </c>
      <c r="F501" s="2" t="n">
        <v>0</v>
      </c>
      <c r="G501" s="2"/>
    </row>
    <row r="502" customFormat="false" ht="15" hidden="false" customHeight="false" outlineLevel="0" collapsed="false">
      <c r="A502" s="2" t="s">
        <v>2154</v>
      </c>
      <c r="B502" s="2" t="s">
        <v>2155</v>
      </c>
      <c r="C502" s="2" t="s">
        <v>35</v>
      </c>
      <c r="D502" s="2" t="s">
        <v>1206</v>
      </c>
      <c r="E502" s="2" t="n">
        <v>2</v>
      </c>
      <c r="F502" s="2" t="n">
        <v>0</v>
      </c>
      <c r="G502" s="2"/>
    </row>
    <row r="503" customFormat="false" ht="15" hidden="false" customHeight="false" outlineLevel="0" collapsed="false">
      <c r="A503" s="2" t="s">
        <v>2156</v>
      </c>
      <c r="B503" s="2" t="s">
        <v>2157</v>
      </c>
      <c r="C503" s="2" t="s">
        <v>35</v>
      </c>
      <c r="D503" s="2" t="s">
        <v>1206</v>
      </c>
      <c r="E503" s="2" t="n">
        <v>1</v>
      </c>
      <c r="F503" s="2" t="n">
        <v>0</v>
      </c>
      <c r="G503" s="2"/>
    </row>
    <row r="504" customFormat="false" ht="15" hidden="false" customHeight="false" outlineLevel="0" collapsed="false">
      <c r="A504" s="2" t="s">
        <v>2158</v>
      </c>
      <c r="B504" s="2" t="s">
        <v>2159</v>
      </c>
      <c r="C504" s="2" t="s">
        <v>35</v>
      </c>
      <c r="D504" s="2" t="s">
        <v>1169</v>
      </c>
      <c r="E504" s="2" t="n">
        <v>0</v>
      </c>
      <c r="F504" s="2" t="n">
        <v>1</v>
      </c>
      <c r="G504" s="2" t="s">
        <v>261</v>
      </c>
    </row>
    <row r="505" customFormat="false" ht="15" hidden="false" customHeight="false" outlineLevel="0" collapsed="false">
      <c r="A505" s="2" t="s">
        <v>2160</v>
      </c>
      <c r="B505" s="2" t="s">
        <v>2161</v>
      </c>
      <c r="C505" s="2" t="s">
        <v>323</v>
      </c>
      <c r="D505" s="2" t="s">
        <v>1206</v>
      </c>
      <c r="E505" s="2" t="n">
        <v>1</v>
      </c>
      <c r="F505" s="2" t="n">
        <v>0</v>
      </c>
      <c r="G505" s="2"/>
    </row>
    <row r="506" customFormat="false" ht="15" hidden="false" customHeight="false" outlineLevel="0" collapsed="false">
      <c r="A506" s="2" t="s">
        <v>2162</v>
      </c>
      <c r="B506" s="2" t="s">
        <v>2163</v>
      </c>
      <c r="C506" s="2" t="s">
        <v>2164</v>
      </c>
      <c r="D506" s="2" t="s">
        <v>1169</v>
      </c>
      <c r="E506" s="2" t="n">
        <v>0</v>
      </c>
      <c r="F506" s="2" t="n">
        <v>1</v>
      </c>
      <c r="G506" s="2" t="s">
        <v>261</v>
      </c>
    </row>
    <row r="507" customFormat="false" ht="15" hidden="false" customHeight="false" outlineLevel="0" collapsed="false">
      <c r="A507" s="2" t="s">
        <v>2165</v>
      </c>
      <c r="B507" s="2" t="s">
        <v>2166</v>
      </c>
      <c r="C507" s="2" t="s">
        <v>90</v>
      </c>
      <c r="D507" s="2" t="s">
        <v>1206</v>
      </c>
      <c r="E507" s="2" t="n">
        <v>1</v>
      </c>
      <c r="F507" s="2" t="n">
        <v>0</v>
      </c>
      <c r="G507" s="2"/>
    </row>
    <row r="508" customFormat="false" ht="15" hidden="false" customHeight="false" outlineLevel="0" collapsed="false">
      <c r="A508" s="2" t="s">
        <v>2167</v>
      </c>
      <c r="B508" s="2" t="s">
        <v>585</v>
      </c>
      <c r="C508" s="2" t="s">
        <v>299</v>
      </c>
      <c r="D508" s="2" t="s">
        <v>1206</v>
      </c>
      <c r="E508" s="2" t="n">
        <v>1</v>
      </c>
      <c r="F508" s="2" t="n">
        <v>0</v>
      </c>
      <c r="G508" s="2"/>
    </row>
    <row r="509" customFormat="false" ht="15" hidden="false" customHeight="false" outlineLevel="0" collapsed="false">
      <c r="A509" s="2" t="s">
        <v>2168</v>
      </c>
      <c r="B509" s="2" t="s">
        <v>2169</v>
      </c>
      <c r="C509" s="2" t="s">
        <v>363</v>
      </c>
      <c r="D509" s="2" t="s">
        <v>1169</v>
      </c>
      <c r="E509" s="2" t="n">
        <v>0</v>
      </c>
      <c r="F509" s="2" t="n">
        <v>1</v>
      </c>
      <c r="G509" s="2" t="s">
        <v>32</v>
      </c>
    </row>
    <row r="510" customFormat="false" ht="15" hidden="false" customHeight="false" outlineLevel="0" collapsed="false">
      <c r="A510" s="2" t="s">
        <v>2170</v>
      </c>
      <c r="B510" s="2" t="s">
        <v>2171</v>
      </c>
      <c r="C510" s="2" t="s">
        <v>35</v>
      </c>
      <c r="D510" s="2" t="s">
        <v>1169</v>
      </c>
      <c r="E510" s="2" t="n">
        <v>0</v>
      </c>
      <c r="F510" s="2" t="n">
        <v>1</v>
      </c>
      <c r="G510" s="2" t="s">
        <v>32</v>
      </c>
    </row>
    <row r="511" customFormat="false" ht="15" hidden="false" customHeight="false" outlineLevel="0" collapsed="false">
      <c r="A511" s="2" t="s">
        <v>2172</v>
      </c>
      <c r="B511" s="2" t="s">
        <v>2173</v>
      </c>
      <c r="C511" s="2" t="s">
        <v>90</v>
      </c>
      <c r="D511" s="2" t="s">
        <v>1169</v>
      </c>
      <c r="E511" s="2" t="n">
        <v>0</v>
      </c>
      <c r="F511" s="2" t="n">
        <v>1</v>
      </c>
      <c r="G511" s="2" t="s">
        <v>32</v>
      </c>
    </row>
    <row r="512" customFormat="false" ht="15" hidden="false" customHeight="false" outlineLevel="0" collapsed="false">
      <c r="A512" s="2" t="s">
        <v>2174</v>
      </c>
      <c r="B512" s="2" t="s">
        <v>2175</v>
      </c>
      <c r="C512" s="2" t="s">
        <v>299</v>
      </c>
      <c r="D512" s="2" t="s">
        <v>1169</v>
      </c>
      <c r="E512" s="2" t="n">
        <v>0</v>
      </c>
      <c r="F512" s="2" t="n">
        <v>1</v>
      </c>
      <c r="G512" s="2" t="s">
        <v>32</v>
      </c>
    </row>
    <row r="513" customFormat="false" ht="15" hidden="false" customHeight="false" outlineLevel="0" collapsed="false">
      <c r="A513" s="2" t="s">
        <v>2176</v>
      </c>
      <c r="B513" s="2" t="s">
        <v>2177</v>
      </c>
      <c r="C513" s="2" t="s">
        <v>20</v>
      </c>
      <c r="D513" s="2" t="s">
        <v>1169</v>
      </c>
      <c r="E513" s="2" t="n">
        <v>0</v>
      </c>
      <c r="F513" s="2" t="n">
        <v>1</v>
      </c>
      <c r="G513" s="2" t="s">
        <v>261</v>
      </c>
    </row>
    <row r="514" customFormat="false" ht="15" hidden="false" customHeight="false" outlineLevel="0" collapsed="false">
      <c r="A514" s="2" t="s">
        <v>2178</v>
      </c>
      <c r="B514" s="2" t="s">
        <v>2179</v>
      </c>
      <c r="C514" s="2" t="s">
        <v>52</v>
      </c>
      <c r="D514" s="2" t="s">
        <v>1206</v>
      </c>
      <c r="E514" s="2" t="n">
        <v>1</v>
      </c>
      <c r="F514" s="2" t="n">
        <v>0</v>
      </c>
      <c r="G514" s="2"/>
    </row>
    <row r="515" customFormat="false" ht="15" hidden="false" customHeight="false" outlineLevel="0" collapsed="false">
      <c r="A515" s="2" t="s">
        <v>2180</v>
      </c>
      <c r="B515" s="2" t="s">
        <v>2181</v>
      </c>
      <c r="C515" s="2" t="s">
        <v>299</v>
      </c>
      <c r="D515" s="2" t="s">
        <v>1169</v>
      </c>
      <c r="E515" s="2" t="n">
        <v>0</v>
      </c>
      <c r="F515" s="2" t="n">
        <v>1</v>
      </c>
      <c r="G515" s="2" t="s">
        <v>32</v>
      </c>
    </row>
    <row r="516" customFormat="false" ht="15" hidden="false" customHeight="false" outlineLevel="0" collapsed="false">
      <c r="A516" s="2" t="s">
        <v>2182</v>
      </c>
      <c r="B516" s="2" t="s">
        <v>2183</v>
      </c>
      <c r="C516" s="2" t="s">
        <v>20</v>
      </c>
      <c r="D516" s="2" t="s">
        <v>1169</v>
      </c>
      <c r="E516" s="2" t="n">
        <v>0</v>
      </c>
      <c r="F516" s="2" t="n">
        <v>1</v>
      </c>
      <c r="G516" s="2" t="s">
        <v>261</v>
      </c>
    </row>
    <row r="517" customFormat="false" ht="15" hidden="false" customHeight="false" outlineLevel="0" collapsed="false">
      <c r="A517" s="2" t="s">
        <v>2184</v>
      </c>
      <c r="B517" s="2" t="s">
        <v>2185</v>
      </c>
      <c r="C517" s="2" t="s">
        <v>1301</v>
      </c>
      <c r="D517" s="2" t="s">
        <v>1169</v>
      </c>
      <c r="E517" s="2" t="n">
        <v>0</v>
      </c>
      <c r="F517" s="2" t="n">
        <v>1</v>
      </c>
      <c r="G517" s="2" t="s">
        <v>32</v>
      </c>
    </row>
    <row r="518" customFormat="false" ht="15" hidden="false" customHeight="false" outlineLevel="0" collapsed="false">
      <c r="A518" s="2" t="s">
        <v>2186</v>
      </c>
      <c r="B518" s="2" t="s">
        <v>2187</v>
      </c>
      <c r="C518" s="2" t="s">
        <v>299</v>
      </c>
      <c r="D518" s="2" t="s">
        <v>1169</v>
      </c>
      <c r="E518" s="2" t="n">
        <v>0</v>
      </c>
      <c r="F518" s="2" t="n">
        <v>1</v>
      </c>
      <c r="G518" s="2" t="s">
        <v>261</v>
      </c>
    </row>
    <row r="519" customFormat="false" ht="15" hidden="false" customHeight="false" outlineLevel="0" collapsed="false">
      <c r="A519" s="2" t="s">
        <v>2188</v>
      </c>
      <c r="B519" s="2" t="s">
        <v>2189</v>
      </c>
      <c r="C519" s="2" t="s">
        <v>323</v>
      </c>
      <c r="D519" s="2" t="s">
        <v>1206</v>
      </c>
      <c r="E519" s="2" t="n">
        <v>1</v>
      </c>
      <c r="F519" s="2" t="n">
        <v>0</v>
      </c>
      <c r="G519" s="2"/>
    </row>
    <row r="520" customFormat="false" ht="15" hidden="false" customHeight="false" outlineLevel="0" collapsed="false">
      <c r="A520" s="2" t="s">
        <v>2190</v>
      </c>
      <c r="B520" s="2" t="s">
        <v>2191</v>
      </c>
      <c r="C520" s="2" t="s">
        <v>363</v>
      </c>
      <c r="D520" s="2" t="s">
        <v>1169</v>
      </c>
      <c r="E520" s="2" t="n">
        <v>0</v>
      </c>
      <c r="F520" s="2" t="n">
        <v>1</v>
      </c>
      <c r="G520" s="2" t="s">
        <v>32</v>
      </c>
    </row>
    <row r="521" customFormat="false" ht="15" hidden="false" customHeight="false" outlineLevel="0" collapsed="false">
      <c r="A521" s="2" t="s">
        <v>2192</v>
      </c>
      <c r="B521" s="2" t="s">
        <v>2193</v>
      </c>
      <c r="C521" s="2" t="s">
        <v>299</v>
      </c>
      <c r="D521" s="2" t="s">
        <v>1169</v>
      </c>
      <c r="E521" s="2" t="n">
        <v>0</v>
      </c>
      <c r="F521" s="2" t="n">
        <v>1</v>
      </c>
      <c r="G521" s="2" t="s">
        <v>32</v>
      </c>
    </row>
    <row r="522" customFormat="false" ht="15" hidden="false" customHeight="false" outlineLevel="0" collapsed="false">
      <c r="A522" s="2" t="s">
        <v>2194</v>
      </c>
      <c r="B522" s="2" t="s">
        <v>2195</v>
      </c>
      <c r="C522" s="2" t="s">
        <v>20</v>
      </c>
      <c r="D522" s="2" t="s">
        <v>1169</v>
      </c>
      <c r="E522" s="2" t="n">
        <v>0</v>
      </c>
      <c r="F522" s="2" t="n">
        <v>1</v>
      </c>
      <c r="G522" s="2" t="s">
        <v>261</v>
      </c>
    </row>
    <row r="523" customFormat="false" ht="15" hidden="false" customHeight="false" outlineLevel="0" collapsed="false">
      <c r="A523" s="2" t="s">
        <v>2196</v>
      </c>
      <c r="B523" s="2" t="s">
        <v>2197</v>
      </c>
      <c r="C523" s="2" t="s">
        <v>20</v>
      </c>
      <c r="D523" s="2" t="s">
        <v>1169</v>
      </c>
      <c r="E523" s="2" t="n">
        <v>0</v>
      </c>
      <c r="F523" s="2" t="n">
        <v>1</v>
      </c>
      <c r="G523" s="2" t="s">
        <v>261</v>
      </c>
    </row>
    <row r="524" customFormat="false" ht="15" hidden="false" customHeight="false" outlineLevel="0" collapsed="false">
      <c r="A524" s="2" t="s">
        <v>2198</v>
      </c>
      <c r="B524" s="2" t="s">
        <v>2199</v>
      </c>
      <c r="C524" s="2" t="s">
        <v>20</v>
      </c>
      <c r="D524" s="2" t="s">
        <v>1169</v>
      </c>
      <c r="E524" s="2" t="n">
        <v>0</v>
      </c>
      <c r="F524" s="2" t="n">
        <v>1</v>
      </c>
      <c r="G524" s="2" t="s">
        <v>261</v>
      </c>
    </row>
    <row r="525" customFormat="false" ht="15" hidden="false" customHeight="false" outlineLevel="0" collapsed="false">
      <c r="A525" s="2" t="s">
        <v>2200</v>
      </c>
      <c r="B525" s="2" t="s">
        <v>2201</v>
      </c>
      <c r="C525" s="2" t="s">
        <v>299</v>
      </c>
      <c r="D525" s="2" t="s">
        <v>1169</v>
      </c>
      <c r="E525" s="2" t="n">
        <v>0</v>
      </c>
      <c r="F525" s="2" t="n">
        <v>1</v>
      </c>
      <c r="G525" s="2" t="s">
        <v>261</v>
      </c>
    </row>
    <row r="526" customFormat="false" ht="15" hidden="false" customHeight="false" outlineLevel="0" collapsed="false">
      <c r="A526" s="2" t="s">
        <v>2202</v>
      </c>
      <c r="B526" s="2" t="s">
        <v>2203</v>
      </c>
      <c r="C526" s="2" t="s">
        <v>35</v>
      </c>
      <c r="D526" s="2" t="s">
        <v>1169</v>
      </c>
      <c r="E526" s="2" t="n">
        <v>0</v>
      </c>
      <c r="F526" s="2" t="n">
        <v>1</v>
      </c>
      <c r="G526" s="2" t="s">
        <v>32</v>
      </c>
    </row>
    <row r="527" customFormat="false" ht="15" hidden="false" customHeight="false" outlineLevel="0" collapsed="false">
      <c r="A527" s="2" t="s">
        <v>2204</v>
      </c>
      <c r="B527" s="2" t="s">
        <v>2205</v>
      </c>
      <c r="C527" s="2" t="s">
        <v>1050</v>
      </c>
      <c r="D527" s="2" t="s">
        <v>1169</v>
      </c>
      <c r="E527" s="2" t="n">
        <v>0</v>
      </c>
      <c r="F527" s="2" t="n">
        <v>1</v>
      </c>
      <c r="G527" s="2" t="s">
        <v>261</v>
      </c>
    </row>
    <row r="528" customFormat="false" ht="15" hidden="false" customHeight="false" outlineLevel="0" collapsed="false">
      <c r="A528" s="2" t="s">
        <v>2206</v>
      </c>
      <c r="B528" s="2" t="s">
        <v>2207</v>
      </c>
      <c r="C528" s="2" t="s">
        <v>73</v>
      </c>
      <c r="D528" s="2" t="s">
        <v>1169</v>
      </c>
      <c r="E528" s="2" t="n">
        <v>0</v>
      </c>
      <c r="F528" s="2" t="n">
        <v>1</v>
      </c>
      <c r="G528" s="2" t="s">
        <v>261</v>
      </c>
    </row>
    <row r="529" customFormat="false" ht="15" hidden="false" customHeight="false" outlineLevel="0" collapsed="false">
      <c r="A529" s="2" t="s">
        <v>2208</v>
      </c>
      <c r="B529" s="2" t="s">
        <v>2209</v>
      </c>
      <c r="C529" s="2" t="s">
        <v>52</v>
      </c>
      <c r="D529" s="2" t="s">
        <v>1169</v>
      </c>
      <c r="E529" s="2" t="n">
        <v>0</v>
      </c>
      <c r="F529" s="2" t="n">
        <v>1</v>
      </c>
      <c r="G529" s="2" t="s">
        <v>32</v>
      </c>
    </row>
    <row r="530" customFormat="false" ht="15" hidden="false" customHeight="false" outlineLevel="0" collapsed="false">
      <c r="A530" s="2" t="s">
        <v>2210</v>
      </c>
      <c r="B530" s="2" t="s">
        <v>2211</v>
      </c>
      <c r="C530" s="2" t="s">
        <v>904</v>
      </c>
      <c r="D530" s="2" t="s">
        <v>1206</v>
      </c>
      <c r="E530" s="2" t="n">
        <v>1</v>
      </c>
      <c r="F530" s="2" t="n">
        <v>0</v>
      </c>
      <c r="G530" s="2"/>
    </row>
    <row r="531" customFormat="false" ht="15" hidden="false" customHeight="false" outlineLevel="0" collapsed="false">
      <c r="A531" s="2" t="s">
        <v>2212</v>
      </c>
      <c r="B531" s="2" t="s">
        <v>520</v>
      </c>
      <c r="C531" s="2" t="s">
        <v>2213</v>
      </c>
      <c r="D531" s="2" t="s">
        <v>1206</v>
      </c>
      <c r="E531" s="2" t="n">
        <v>1</v>
      </c>
      <c r="F531" s="2" t="n">
        <v>0</v>
      </c>
      <c r="G531" s="2"/>
    </row>
    <row r="532" customFormat="false" ht="15" hidden="false" customHeight="false" outlineLevel="0" collapsed="false">
      <c r="A532" s="2" t="s">
        <v>2214</v>
      </c>
      <c r="B532" s="2" t="s">
        <v>2215</v>
      </c>
      <c r="C532" s="2" t="s">
        <v>299</v>
      </c>
      <c r="D532" s="2" t="s">
        <v>1169</v>
      </c>
      <c r="E532" s="2" t="n">
        <v>0</v>
      </c>
      <c r="F532" s="2" t="n">
        <v>1</v>
      </c>
      <c r="G532" s="2" t="s">
        <v>261</v>
      </c>
    </row>
    <row r="533" customFormat="false" ht="15" hidden="false" customHeight="false" outlineLevel="0" collapsed="false">
      <c r="A533" s="2" t="s">
        <v>2216</v>
      </c>
      <c r="B533" s="2" t="s">
        <v>2217</v>
      </c>
      <c r="C533" s="2" t="s">
        <v>299</v>
      </c>
      <c r="D533" s="2" t="s">
        <v>1169</v>
      </c>
      <c r="E533" s="2" t="n">
        <v>0</v>
      </c>
      <c r="F533" s="2" t="n">
        <v>1</v>
      </c>
      <c r="G533" s="2" t="s">
        <v>32</v>
      </c>
    </row>
    <row r="534" customFormat="false" ht="15" hidden="false" customHeight="false" outlineLevel="0" collapsed="false">
      <c r="A534" s="2" t="s">
        <v>2218</v>
      </c>
      <c r="B534" s="2" t="s">
        <v>2219</v>
      </c>
      <c r="C534" s="2" t="s">
        <v>20</v>
      </c>
      <c r="D534" s="2" t="s">
        <v>1169</v>
      </c>
      <c r="E534" s="2" t="n">
        <v>0</v>
      </c>
      <c r="F534" s="2" t="n">
        <v>1</v>
      </c>
      <c r="G534" s="2" t="s">
        <v>261</v>
      </c>
    </row>
    <row r="535" customFormat="false" ht="15" hidden="false" customHeight="false" outlineLevel="0" collapsed="false">
      <c r="A535" s="2" t="s">
        <v>2220</v>
      </c>
      <c r="B535" s="2" t="s">
        <v>2221</v>
      </c>
      <c r="C535" s="2" t="s">
        <v>20</v>
      </c>
      <c r="D535" s="2" t="s">
        <v>1169</v>
      </c>
      <c r="E535" s="2" t="n">
        <v>0</v>
      </c>
      <c r="F535" s="2" t="n">
        <v>1</v>
      </c>
      <c r="G535" s="2" t="s">
        <v>261</v>
      </c>
    </row>
    <row r="536" customFormat="false" ht="15" hidden="false" customHeight="false" outlineLevel="0" collapsed="false">
      <c r="A536" s="2" t="s">
        <v>2222</v>
      </c>
      <c r="B536" s="2" t="s">
        <v>2223</v>
      </c>
      <c r="C536" s="2" t="s">
        <v>20</v>
      </c>
      <c r="D536" s="2" t="s">
        <v>1169</v>
      </c>
      <c r="E536" s="2" t="n">
        <v>0</v>
      </c>
      <c r="F536" s="2" t="n">
        <v>1</v>
      </c>
      <c r="G536" s="2" t="s">
        <v>261</v>
      </c>
    </row>
    <row r="537" customFormat="false" ht="15" hidden="false" customHeight="false" outlineLevel="0" collapsed="false">
      <c r="A537" s="2" t="s">
        <v>2224</v>
      </c>
      <c r="B537" s="2" t="s">
        <v>2225</v>
      </c>
      <c r="C537" s="2" t="s">
        <v>20</v>
      </c>
      <c r="D537" s="2" t="s">
        <v>1169</v>
      </c>
      <c r="E537" s="2" t="n">
        <v>0</v>
      </c>
      <c r="F537" s="2" t="n">
        <v>1</v>
      </c>
      <c r="G537" s="2" t="s">
        <v>261</v>
      </c>
    </row>
    <row r="538" customFormat="false" ht="15" hidden="false" customHeight="false" outlineLevel="0" collapsed="false">
      <c r="A538" s="2" t="s">
        <v>2226</v>
      </c>
      <c r="B538" s="2" t="s">
        <v>2227</v>
      </c>
      <c r="C538" s="2" t="s">
        <v>20</v>
      </c>
      <c r="D538" s="2" t="s">
        <v>1169</v>
      </c>
      <c r="E538" s="2" t="n">
        <v>0</v>
      </c>
      <c r="F538" s="2" t="n">
        <v>1</v>
      </c>
      <c r="G538" s="2" t="s">
        <v>261</v>
      </c>
    </row>
    <row r="539" customFormat="false" ht="15" hidden="false" customHeight="false" outlineLevel="0" collapsed="false">
      <c r="A539" s="2" t="s">
        <v>2228</v>
      </c>
      <c r="B539" s="2" t="s">
        <v>2229</v>
      </c>
      <c r="C539" s="2" t="s">
        <v>20</v>
      </c>
      <c r="D539" s="2" t="s">
        <v>1169</v>
      </c>
      <c r="E539" s="2" t="n">
        <v>0</v>
      </c>
      <c r="F539" s="2" t="n">
        <v>1</v>
      </c>
      <c r="G539" s="2" t="s">
        <v>261</v>
      </c>
    </row>
    <row r="540" customFormat="false" ht="15" hidden="false" customHeight="false" outlineLevel="0" collapsed="false">
      <c r="A540" s="2" t="s">
        <v>2230</v>
      </c>
      <c r="B540" s="2" t="s">
        <v>2231</v>
      </c>
      <c r="C540" s="2" t="s">
        <v>20</v>
      </c>
      <c r="D540" s="2" t="s">
        <v>1169</v>
      </c>
      <c r="E540" s="2" t="n">
        <v>0</v>
      </c>
      <c r="F540" s="2" t="n">
        <v>1</v>
      </c>
      <c r="G540" s="2" t="s">
        <v>261</v>
      </c>
    </row>
    <row r="541" customFormat="false" ht="15" hidden="false" customHeight="false" outlineLevel="0" collapsed="false">
      <c r="A541" s="2" t="s">
        <v>2232</v>
      </c>
      <c r="B541" s="2" t="s">
        <v>2233</v>
      </c>
      <c r="C541" s="2" t="s">
        <v>20</v>
      </c>
      <c r="D541" s="2" t="s">
        <v>1169</v>
      </c>
      <c r="E541" s="2" t="n">
        <v>0</v>
      </c>
      <c r="F541" s="2" t="n">
        <v>1</v>
      </c>
      <c r="G541" s="2" t="s">
        <v>261</v>
      </c>
    </row>
    <row r="542" customFormat="false" ht="15" hidden="false" customHeight="false" outlineLevel="0" collapsed="false">
      <c r="A542" s="2" t="s">
        <v>2234</v>
      </c>
      <c r="B542" s="2" t="s">
        <v>2235</v>
      </c>
      <c r="C542" s="2" t="s">
        <v>20</v>
      </c>
      <c r="D542" s="2" t="s">
        <v>1169</v>
      </c>
      <c r="E542" s="2" t="n">
        <v>0</v>
      </c>
      <c r="F542" s="2" t="n">
        <v>1</v>
      </c>
      <c r="G542" s="2" t="s">
        <v>261</v>
      </c>
    </row>
    <row r="543" customFormat="false" ht="15" hidden="false" customHeight="false" outlineLevel="0" collapsed="false">
      <c r="A543" s="2" t="s">
        <v>2236</v>
      </c>
      <c r="B543" s="2" t="s">
        <v>2237</v>
      </c>
      <c r="C543" s="2" t="s">
        <v>20</v>
      </c>
      <c r="D543" s="2" t="s">
        <v>1169</v>
      </c>
      <c r="E543" s="2" t="n">
        <v>0</v>
      </c>
      <c r="F543" s="2" t="n">
        <v>1</v>
      </c>
      <c r="G543" s="2" t="s">
        <v>261</v>
      </c>
    </row>
    <row r="544" customFormat="false" ht="15" hidden="false" customHeight="false" outlineLevel="0" collapsed="false">
      <c r="A544" s="2" t="s">
        <v>2238</v>
      </c>
      <c r="B544" s="2" t="s">
        <v>2239</v>
      </c>
      <c r="C544" s="2" t="s">
        <v>20</v>
      </c>
      <c r="D544" s="2" t="s">
        <v>1169</v>
      </c>
      <c r="E544" s="2" t="n">
        <v>0</v>
      </c>
      <c r="F544" s="2" t="n">
        <v>1</v>
      </c>
      <c r="G544" s="2" t="s">
        <v>261</v>
      </c>
    </row>
    <row r="545" customFormat="false" ht="15" hidden="false" customHeight="false" outlineLevel="0" collapsed="false">
      <c r="A545" s="2" t="s">
        <v>2240</v>
      </c>
      <c r="B545" s="2" t="s">
        <v>2241</v>
      </c>
      <c r="C545" s="2" t="s">
        <v>20</v>
      </c>
      <c r="D545" s="2" t="s">
        <v>1169</v>
      </c>
      <c r="E545" s="2" t="n">
        <v>0</v>
      </c>
      <c r="F545" s="2" t="n">
        <v>1</v>
      </c>
      <c r="G545" s="2" t="s">
        <v>261</v>
      </c>
    </row>
    <row r="546" customFormat="false" ht="15" hidden="false" customHeight="false" outlineLevel="0" collapsed="false">
      <c r="A546" s="2" t="s">
        <v>2242</v>
      </c>
      <c r="B546" s="2" t="s">
        <v>2243</v>
      </c>
      <c r="C546" s="2" t="s">
        <v>20</v>
      </c>
      <c r="D546" s="2" t="s">
        <v>1169</v>
      </c>
      <c r="E546" s="2" t="n">
        <v>0</v>
      </c>
      <c r="F546" s="2" t="n">
        <v>1</v>
      </c>
      <c r="G546" s="2" t="s">
        <v>261</v>
      </c>
    </row>
    <row r="547" customFormat="false" ht="15" hidden="false" customHeight="false" outlineLevel="0" collapsed="false">
      <c r="A547" s="2" t="s">
        <v>2244</v>
      </c>
      <c r="B547" s="2" t="s">
        <v>2245</v>
      </c>
      <c r="C547" s="2" t="s">
        <v>20</v>
      </c>
      <c r="D547" s="2" t="s">
        <v>1169</v>
      </c>
      <c r="E547" s="2" t="n">
        <v>0</v>
      </c>
      <c r="F547" s="2" t="n">
        <v>1</v>
      </c>
      <c r="G547" s="2" t="s">
        <v>261</v>
      </c>
    </row>
    <row r="548" customFormat="false" ht="15" hidden="false" customHeight="false" outlineLevel="0" collapsed="false">
      <c r="A548" s="2" t="s">
        <v>2246</v>
      </c>
      <c r="B548" s="2" t="s">
        <v>2247</v>
      </c>
      <c r="C548" s="2" t="s">
        <v>20</v>
      </c>
      <c r="D548" s="2" t="s">
        <v>1169</v>
      </c>
      <c r="E548" s="2" t="n">
        <v>0</v>
      </c>
      <c r="F548" s="2" t="n">
        <v>1</v>
      </c>
      <c r="G548" s="2" t="s">
        <v>261</v>
      </c>
    </row>
    <row r="549" customFormat="false" ht="15" hidden="false" customHeight="false" outlineLevel="0" collapsed="false">
      <c r="A549" s="2" t="s">
        <v>2248</v>
      </c>
      <c r="B549" s="2" t="s">
        <v>2249</v>
      </c>
      <c r="C549" s="2" t="s">
        <v>20</v>
      </c>
      <c r="D549" s="2" t="s">
        <v>1169</v>
      </c>
      <c r="E549" s="2" t="n">
        <v>0</v>
      </c>
      <c r="F549" s="2" t="n">
        <v>1</v>
      </c>
      <c r="G549" s="2" t="s">
        <v>261</v>
      </c>
    </row>
    <row r="550" customFormat="false" ht="15" hidden="false" customHeight="false" outlineLevel="0" collapsed="false">
      <c r="A550" s="2" t="s">
        <v>2250</v>
      </c>
      <c r="B550" s="2" t="s">
        <v>2251</v>
      </c>
      <c r="C550" s="2" t="s">
        <v>20</v>
      </c>
      <c r="D550" s="2" t="s">
        <v>1169</v>
      </c>
      <c r="E550" s="2" t="n">
        <v>0</v>
      </c>
      <c r="F550" s="2" t="n">
        <v>1</v>
      </c>
      <c r="G550" s="2" t="s">
        <v>261</v>
      </c>
    </row>
    <row r="551" customFormat="false" ht="15" hidden="false" customHeight="false" outlineLevel="0" collapsed="false">
      <c r="A551" s="2" t="s">
        <v>2252</v>
      </c>
      <c r="B551" s="2" t="s">
        <v>2253</v>
      </c>
      <c r="C551" s="2" t="s">
        <v>20</v>
      </c>
      <c r="D551" s="2" t="s">
        <v>1169</v>
      </c>
      <c r="E551" s="2" t="n">
        <v>0</v>
      </c>
      <c r="F551" s="2" t="n">
        <v>1</v>
      </c>
      <c r="G551" s="2" t="s">
        <v>261</v>
      </c>
    </row>
    <row r="552" customFormat="false" ht="15" hidden="false" customHeight="false" outlineLevel="0" collapsed="false">
      <c r="A552" s="2" t="s">
        <v>2254</v>
      </c>
      <c r="B552" s="2" t="s">
        <v>2255</v>
      </c>
      <c r="C552" s="2" t="s">
        <v>20</v>
      </c>
      <c r="D552" s="2" t="s">
        <v>1169</v>
      </c>
      <c r="E552" s="2" t="n">
        <v>0</v>
      </c>
      <c r="F552" s="2" t="n">
        <v>1</v>
      </c>
      <c r="G552" s="2" t="s">
        <v>261</v>
      </c>
    </row>
    <row r="553" customFormat="false" ht="15" hidden="false" customHeight="false" outlineLevel="0" collapsed="false">
      <c r="A553" s="2" t="s">
        <v>2256</v>
      </c>
      <c r="B553" s="2" t="s">
        <v>2257</v>
      </c>
      <c r="C553" s="2" t="s">
        <v>20</v>
      </c>
      <c r="D553" s="2" t="s">
        <v>1169</v>
      </c>
      <c r="E553" s="2" t="n">
        <v>0</v>
      </c>
      <c r="F553" s="2" t="n">
        <v>1</v>
      </c>
      <c r="G553" s="2" t="s">
        <v>261</v>
      </c>
    </row>
    <row r="554" customFormat="false" ht="15" hidden="false" customHeight="false" outlineLevel="0" collapsed="false">
      <c r="A554" s="2" t="s">
        <v>2258</v>
      </c>
      <c r="B554" s="2" t="s">
        <v>2259</v>
      </c>
      <c r="C554" s="2" t="s">
        <v>427</v>
      </c>
      <c r="D554" s="2" t="s">
        <v>1169</v>
      </c>
      <c r="E554" s="2" t="n">
        <v>0</v>
      </c>
      <c r="F554" s="2" t="n">
        <v>1</v>
      </c>
      <c r="G554" s="2" t="s">
        <v>32</v>
      </c>
    </row>
    <row r="555" customFormat="false" ht="15" hidden="false" customHeight="false" outlineLevel="0" collapsed="false">
      <c r="A555" s="2" t="s">
        <v>2260</v>
      </c>
      <c r="B555" s="2" t="s">
        <v>1058</v>
      </c>
      <c r="C555" s="2" t="s">
        <v>455</v>
      </c>
      <c r="D555" s="2" t="s">
        <v>1206</v>
      </c>
      <c r="E555" s="2" t="n">
        <v>1</v>
      </c>
      <c r="F555" s="2" t="n">
        <v>0</v>
      </c>
      <c r="G555" s="2"/>
    </row>
    <row r="556" customFormat="false" ht="15" hidden="false" customHeight="false" outlineLevel="0" collapsed="false">
      <c r="A556" s="2" t="s">
        <v>2261</v>
      </c>
      <c r="B556" s="2" t="s">
        <v>2262</v>
      </c>
      <c r="C556" s="2" t="s">
        <v>2263</v>
      </c>
      <c r="D556" s="2" t="s">
        <v>1169</v>
      </c>
      <c r="E556" s="2" t="n">
        <v>0</v>
      </c>
      <c r="F556" s="2" t="n">
        <v>1</v>
      </c>
      <c r="G556" s="2" t="s">
        <v>32</v>
      </c>
    </row>
    <row r="557" customFormat="false" ht="15" hidden="false" customHeight="false" outlineLevel="0" collapsed="false">
      <c r="A557" s="2" t="s">
        <v>2264</v>
      </c>
      <c r="B557" s="2" t="s">
        <v>2265</v>
      </c>
      <c r="C557" s="2" t="s">
        <v>90</v>
      </c>
      <c r="D557" s="2" t="s">
        <v>1169</v>
      </c>
      <c r="E557" s="2" t="n">
        <v>0</v>
      </c>
      <c r="F557" s="2" t="n">
        <v>1</v>
      </c>
      <c r="G557" s="2" t="s">
        <v>32</v>
      </c>
    </row>
    <row r="558" customFormat="false" ht="15" hidden="false" customHeight="false" outlineLevel="0" collapsed="false">
      <c r="A558" s="2" t="s">
        <v>2266</v>
      </c>
      <c r="B558" s="2" t="s">
        <v>2267</v>
      </c>
      <c r="C558" s="2" t="s">
        <v>35</v>
      </c>
      <c r="D558" s="2" t="s">
        <v>1206</v>
      </c>
      <c r="E558" s="2" t="n">
        <v>1</v>
      </c>
      <c r="F558" s="2" t="n">
        <v>0</v>
      </c>
      <c r="G558" s="2"/>
    </row>
    <row r="559" customFormat="false" ht="15" hidden="false" customHeight="false" outlineLevel="0" collapsed="false">
      <c r="A559" s="2" t="s">
        <v>2268</v>
      </c>
      <c r="B559" s="2" t="s">
        <v>2269</v>
      </c>
      <c r="C559" s="2" t="s">
        <v>299</v>
      </c>
      <c r="D559" s="2" t="s">
        <v>1169</v>
      </c>
      <c r="E559" s="2" t="n">
        <v>0</v>
      </c>
      <c r="F559" s="2" t="n">
        <v>1</v>
      </c>
      <c r="G559" s="2" t="s">
        <v>261</v>
      </c>
    </row>
    <row r="560" customFormat="false" ht="15" hidden="false" customHeight="false" outlineLevel="0" collapsed="false">
      <c r="A560" s="2" t="s">
        <v>2270</v>
      </c>
      <c r="B560" s="2" t="s">
        <v>2271</v>
      </c>
      <c r="C560" s="2" t="s">
        <v>440</v>
      </c>
      <c r="D560" s="2" t="s">
        <v>1169</v>
      </c>
      <c r="E560" s="2" t="n">
        <v>0</v>
      </c>
      <c r="F560" s="2" t="n">
        <v>1</v>
      </c>
      <c r="G560" s="2" t="s">
        <v>32</v>
      </c>
    </row>
    <row r="561" customFormat="false" ht="15" hidden="false" customHeight="false" outlineLevel="0" collapsed="false">
      <c r="A561" s="2" t="s">
        <v>2272</v>
      </c>
      <c r="B561" s="2" t="s">
        <v>2273</v>
      </c>
      <c r="C561" s="2" t="s">
        <v>427</v>
      </c>
      <c r="D561" s="2" t="s">
        <v>1169</v>
      </c>
      <c r="E561" s="2" t="n">
        <v>0</v>
      </c>
      <c r="F561" s="2" t="n">
        <v>1</v>
      </c>
      <c r="G561" s="2" t="s">
        <v>261</v>
      </c>
    </row>
    <row r="562" customFormat="false" ht="15" hidden="false" customHeight="false" outlineLevel="0" collapsed="false">
      <c r="A562" s="2" t="s">
        <v>2274</v>
      </c>
      <c r="B562" s="2" t="s">
        <v>2275</v>
      </c>
      <c r="C562" s="2" t="s">
        <v>299</v>
      </c>
      <c r="D562" s="2" t="s">
        <v>1169</v>
      </c>
      <c r="E562" s="2" t="n">
        <v>0</v>
      </c>
      <c r="F562" s="2" t="n">
        <v>2</v>
      </c>
      <c r="G562" s="2" t="s">
        <v>261</v>
      </c>
    </row>
    <row r="563" customFormat="false" ht="15" hidden="false" customHeight="false" outlineLevel="0" collapsed="false">
      <c r="A563" s="2" t="s">
        <v>2276</v>
      </c>
      <c r="B563" s="2" t="s">
        <v>2277</v>
      </c>
      <c r="C563" s="2" t="s">
        <v>20</v>
      </c>
      <c r="D563" s="2" t="s">
        <v>1169</v>
      </c>
      <c r="E563" s="2" t="n">
        <v>0</v>
      </c>
      <c r="F563" s="2" t="n">
        <v>1</v>
      </c>
      <c r="G563" s="2" t="s">
        <v>261</v>
      </c>
    </row>
    <row r="564" customFormat="false" ht="15" hidden="false" customHeight="false" outlineLevel="0" collapsed="false">
      <c r="A564" s="2" t="s">
        <v>2278</v>
      </c>
      <c r="B564" s="2" t="s">
        <v>2279</v>
      </c>
      <c r="C564" s="2" t="s">
        <v>35</v>
      </c>
      <c r="D564" s="2" t="s">
        <v>1169</v>
      </c>
      <c r="E564" s="2" t="n">
        <v>0</v>
      </c>
      <c r="F564" s="2" t="n">
        <v>1</v>
      </c>
      <c r="G564" s="2" t="s">
        <v>32</v>
      </c>
    </row>
    <row r="565" customFormat="false" ht="15" hidden="false" customHeight="false" outlineLevel="0" collapsed="false">
      <c r="A565" s="2" t="s">
        <v>2280</v>
      </c>
      <c r="B565" s="2" t="s">
        <v>2281</v>
      </c>
      <c r="C565" s="2" t="s">
        <v>20</v>
      </c>
      <c r="D565" s="2" t="s">
        <v>1169</v>
      </c>
      <c r="E565" s="2" t="n">
        <v>0</v>
      </c>
      <c r="F565" s="2" t="n">
        <v>1</v>
      </c>
      <c r="G565" s="2" t="s">
        <v>261</v>
      </c>
    </row>
    <row r="566" customFormat="false" ht="15" hidden="false" customHeight="false" outlineLevel="0" collapsed="false">
      <c r="A566" s="2" t="s">
        <v>2282</v>
      </c>
      <c r="B566" s="2" t="s">
        <v>2283</v>
      </c>
      <c r="C566" s="2" t="s">
        <v>64</v>
      </c>
      <c r="D566" s="2" t="s">
        <v>1169</v>
      </c>
      <c r="E566" s="2" t="n">
        <v>0</v>
      </c>
      <c r="F566" s="2" t="n">
        <v>1</v>
      </c>
      <c r="G566" s="2" t="s">
        <v>32</v>
      </c>
    </row>
    <row r="567" customFormat="false" ht="15" hidden="false" customHeight="false" outlineLevel="0" collapsed="false">
      <c r="A567" s="2" t="s">
        <v>2284</v>
      </c>
      <c r="B567" s="2" t="s">
        <v>2285</v>
      </c>
      <c r="C567" s="2" t="s">
        <v>90</v>
      </c>
      <c r="D567" s="2" t="s">
        <v>1206</v>
      </c>
      <c r="E567" s="2" t="n">
        <v>1</v>
      </c>
      <c r="F567" s="2" t="n">
        <v>0</v>
      </c>
      <c r="G567" s="2"/>
    </row>
    <row r="568" customFormat="false" ht="15" hidden="false" customHeight="false" outlineLevel="0" collapsed="false">
      <c r="A568" s="2" t="s">
        <v>2286</v>
      </c>
      <c r="B568" s="2" t="s">
        <v>2287</v>
      </c>
      <c r="C568" s="2" t="s">
        <v>90</v>
      </c>
      <c r="D568" s="2" t="s">
        <v>1169</v>
      </c>
      <c r="E568" s="2" t="n">
        <v>0</v>
      </c>
      <c r="F568" s="2" t="n">
        <v>1</v>
      </c>
      <c r="G568" s="2" t="s">
        <v>32</v>
      </c>
    </row>
    <row r="569" customFormat="false" ht="15" hidden="false" customHeight="false" outlineLevel="0" collapsed="false">
      <c r="A569" s="2" t="s">
        <v>2288</v>
      </c>
      <c r="B569" s="2" t="s">
        <v>2289</v>
      </c>
      <c r="C569" s="2" t="s">
        <v>427</v>
      </c>
      <c r="D569" s="2" t="s">
        <v>1169</v>
      </c>
      <c r="E569" s="2" t="n">
        <v>0</v>
      </c>
      <c r="F569" s="2" t="n">
        <v>1</v>
      </c>
      <c r="G569" s="2" t="s">
        <v>32</v>
      </c>
    </row>
    <row r="570" customFormat="false" ht="15" hidden="false" customHeight="false" outlineLevel="0" collapsed="false">
      <c r="A570" s="2" t="s">
        <v>2290</v>
      </c>
      <c r="B570" s="2" t="s">
        <v>2291</v>
      </c>
      <c r="C570" s="2" t="s">
        <v>299</v>
      </c>
      <c r="D570" s="2" t="s">
        <v>1169</v>
      </c>
      <c r="E570" s="2" t="n">
        <v>0</v>
      </c>
      <c r="F570" s="2" t="n">
        <v>1</v>
      </c>
      <c r="G570" s="2" t="s">
        <v>261</v>
      </c>
    </row>
    <row r="571" customFormat="false" ht="15" hidden="false" customHeight="false" outlineLevel="0" collapsed="false">
      <c r="A571" s="2" t="s">
        <v>2292</v>
      </c>
      <c r="B571" s="2" t="s">
        <v>2293</v>
      </c>
      <c r="C571" s="2" t="s">
        <v>427</v>
      </c>
      <c r="D571" s="2" t="s">
        <v>1169</v>
      </c>
      <c r="E571" s="2" t="n">
        <v>0</v>
      </c>
      <c r="F571" s="2" t="n">
        <v>1</v>
      </c>
      <c r="G571" s="2" t="s">
        <v>261</v>
      </c>
    </row>
    <row r="572" customFormat="false" ht="15" hidden="false" customHeight="false" outlineLevel="0" collapsed="false">
      <c r="A572" s="2" t="s">
        <v>2294</v>
      </c>
      <c r="B572" s="2" t="s">
        <v>2295</v>
      </c>
      <c r="C572" s="2" t="s">
        <v>224</v>
      </c>
      <c r="D572" s="2" t="s">
        <v>1169</v>
      </c>
      <c r="E572" s="2" t="n">
        <v>0</v>
      </c>
      <c r="F572" s="2" t="n">
        <v>1</v>
      </c>
      <c r="G572" s="2" t="s">
        <v>32</v>
      </c>
    </row>
    <row r="573" customFormat="false" ht="15" hidden="false" customHeight="false" outlineLevel="0" collapsed="false">
      <c r="A573" s="2" t="s">
        <v>2296</v>
      </c>
      <c r="B573" s="2" t="s">
        <v>2297</v>
      </c>
      <c r="C573" s="2" t="s">
        <v>299</v>
      </c>
      <c r="D573" s="2" t="s">
        <v>1169</v>
      </c>
      <c r="E573" s="2" t="n">
        <v>0</v>
      </c>
      <c r="F573" s="2" t="n">
        <v>1</v>
      </c>
      <c r="G573" s="2" t="s">
        <v>32</v>
      </c>
    </row>
    <row r="574" customFormat="false" ht="15" hidden="false" customHeight="false" outlineLevel="0" collapsed="false">
      <c r="A574" s="2" t="s">
        <v>2298</v>
      </c>
      <c r="B574" s="2" t="s">
        <v>2299</v>
      </c>
      <c r="C574" s="2" t="s">
        <v>20</v>
      </c>
      <c r="D574" s="2" t="s">
        <v>1169</v>
      </c>
      <c r="E574" s="2" t="n">
        <v>0</v>
      </c>
      <c r="F574" s="2" t="n">
        <v>1</v>
      </c>
      <c r="G574" s="2" t="s">
        <v>261</v>
      </c>
    </row>
    <row r="575" customFormat="false" ht="15" hidden="false" customHeight="false" outlineLevel="0" collapsed="false">
      <c r="A575" s="2" t="s">
        <v>2300</v>
      </c>
      <c r="B575" s="2" t="s">
        <v>2301</v>
      </c>
      <c r="C575" s="2" t="s">
        <v>299</v>
      </c>
      <c r="D575" s="2" t="s">
        <v>1206</v>
      </c>
      <c r="E575" s="2" t="n">
        <v>1</v>
      </c>
      <c r="F575" s="2" t="n">
        <v>0</v>
      </c>
      <c r="G575" s="2"/>
    </row>
    <row r="576" customFormat="false" ht="15" hidden="false" customHeight="false" outlineLevel="0" collapsed="false">
      <c r="A576" s="2" t="s">
        <v>2302</v>
      </c>
      <c r="B576" s="2" t="s">
        <v>2303</v>
      </c>
      <c r="C576" s="2" t="s">
        <v>202</v>
      </c>
      <c r="D576" s="2" t="s">
        <v>1169</v>
      </c>
      <c r="E576" s="2" t="n">
        <v>0</v>
      </c>
      <c r="F576" s="2" t="n">
        <v>1</v>
      </c>
      <c r="G576" s="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3" t="s">
        <v>2304</v>
      </c>
    </row>
    <row r="2" customFormat="false" ht="30" hidden="false" customHeight="true" outlineLevel="0" collapsed="false">
      <c r="A2" s="4" t="s">
        <v>2305</v>
      </c>
    </row>
    <row r="4" customFormat="false" ht="15" hidden="false" customHeight="false" outlineLevel="0" collapsed="false">
      <c r="A4" s="3" t="s">
        <v>2306</v>
      </c>
      <c r="B4" s="2" t="n">
        <f aca="false">COUNTA(Programs!A2:A175)</f>
        <v>174</v>
      </c>
    </row>
    <row r="6" customFormat="false" ht="15" hidden="false" customHeight="false" outlineLevel="0" collapsed="false">
      <c r="A6" s="3" t="s">
        <v>2307</v>
      </c>
    </row>
    <row r="7" customFormat="false" ht="15" hidden="false" customHeight="false" outlineLevel="0" collapsed="false">
      <c r="A7" s="2" t="s">
        <v>643</v>
      </c>
      <c r="B7" s="2" t="n">
        <f aca="false">COUNTIF(Programs!H2:H175,"Live")</f>
        <v>75</v>
      </c>
    </row>
    <row r="8" customFormat="false" ht="15" hidden="false" customHeight="false" outlineLevel="0" collapsed="false">
      <c r="A8" s="2" t="s">
        <v>284</v>
      </c>
      <c r="B8" s="2" t="n">
        <f aca="false">COUNTIF(Programs!H2:H175,"Lead")</f>
        <v>56</v>
      </c>
    </row>
    <row r="9" customFormat="false" ht="15" hidden="false" customHeight="false" outlineLevel="0" collapsed="false">
      <c r="A9" s="2" t="s">
        <v>25</v>
      </c>
      <c r="B9" s="2" t="n">
        <f aca="false">COUNTIF(Programs!H2:H175,"Complementary")</f>
        <v>29</v>
      </c>
    </row>
    <row r="10" customFormat="false" ht="15" hidden="false" customHeight="false" outlineLevel="0" collapsed="false">
      <c r="A10" s="2" t="s">
        <v>1102</v>
      </c>
      <c r="B10" s="2" t="n">
        <f aca="false">COUNTIF(Programs!H2:H175,"Stale")</f>
        <v>10</v>
      </c>
    </row>
    <row r="11" customFormat="false" ht="15" hidden="false" customHeight="false" outlineLevel="0" collapsed="false">
      <c r="A11" s="2" t="s">
        <v>255</v>
      </c>
      <c r="B11" s="2" t="n">
        <f aca="false">COUNTIF(Programs!H2:H175,"Historical")</f>
        <v>3</v>
      </c>
    </row>
    <row r="12" customFormat="false" ht="15" hidden="false" customHeight="false" outlineLevel="0" collapsed="false">
      <c r="A12" s="2" t="s">
        <v>1092</v>
      </c>
      <c r="B12" s="2" t="n">
        <f aca="false">COUNTIF(Programs!H2:H175,"Obtained")</f>
        <v>1</v>
      </c>
    </row>
    <row r="14" customFormat="false" ht="15" hidden="false" customHeight="false" outlineLevel="0" collapsed="false">
      <c r="A14" s="3" t="s">
        <v>2308</v>
      </c>
    </row>
    <row r="15" customFormat="false" ht="15" hidden="false" customHeight="false" outlineLevel="0" collapsed="false">
      <c r="A15" s="2" t="s">
        <v>716</v>
      </c>
      <c r="B15" s="2" t="n">
        <f aca="false">COUNTIF(Programs!G2:G175,"Tribal Primary")</f>
        <v>48</v>
      </c>
    </row>
    <row r="16" customFormat="false" ht="15" hidden="false" customHeight="false" outlineLevel="0" collapsed="false">
      <c r="A16" s="2" t="s">
        <v>254</v>
      </c>
      <c r="B16" s="2" t="n">
        <f aca="false">COUNTIF(Programs!G2:G175,"Tribal Secondary")</f>
        <v>21</v>
      </c>
    </row>
    <row r="17" customFormat="false" ht="15" hidden="false" customHeight="false" outlineLevel="0" collapsed="false">
      <c r="A17" s="2" t="s">
        <v>283</v>
      </c>
      <c r="B17" s="2" t="n">
        <f aca="false">COUNTIF(Programs!G2:G175,"Tribal Partnership")</f>
        <v>53</v>
      </c>
    </row>
    <row r="18" customFormat="false" ht="15" hidden="false" customHeight="false" outlineLevel="0" collapsed="false">
      <c r="A18" s="2" t="s">
        <v>55</v>
      </c>
      <c r="B18" s="2" t="n">
        <f aca="false">COUNTIF(Programs!G2:G175,"Cross-Reference")</f>
        <v>40</v>
      </c>
    </row>
    <row r="19" customFormat="false" ht="15" hidden="false" customHeight="false" outlineLevel="0" collapsed="false">
      <c r="A19" s="2" t="s">
        <v>308</v>
      </c>
      <c r="B19" s="2" t="n">
        <f aca="false">COUNTIF(Programs!G2:G175,"Discovery Only")</f>
        <v>6</v>
      </c>
    </row>
    <row r="20" customFormat="false" ht="15" hidden="false" customHeight="false" outlineLevel="0" collapsed="false">
      <c r="A20" s="2" t="s">
        <v>24</v>
      </c>
      <c r="B20" s="2" t="n">
        <f aca="false">COUNTIF(Programs!G2:G175,"Coverage Frame")</f>
        <v>6</v>
      </c>
    </row>
    <row r="22" customFormat="false" ht="15" hidden="false" customHeight="false" outlineLevel="0" collapsed="false">
      <c r="A22" s="3" t="s">
        <v>2309</v>
      </c>
    </row>
    <row r="23" customFormat="false" ht="15" hidden="false" customHeight="false" outlineLevel="0" collapsed="false">
      <c r="A23" s="2" t="s">
        <v>292</v>
      </c>
      <c r="B23" s="2" t="n">
        <f aca="false">COUNTIF(Programs!F2:F175,"TERO / certified procurement")</f>
        <v>68</v>
      </c>
    </row>
    <row r="24" customFormat="false" ht="15" hidden="false" customHeight="false" outlineLevel="0" collapsed="false">
      <c r="A24" s="2" t="s">
        <v>253</v>
      </c>
      <c r="B24" s="2" t="n">
        <f aca="false">COUNTIF(Programs!F2:F175,"Member-owned directory")</f>
        <v>22</v>
      </c>
    </row>
    <row r="25" customFormat="false" ht="15" hidden="false" customHeight="false" outlineLevel="0" collapsed="false">
      <c r="A25" s="2" t="s">
        <v>109</v>
      </c>
      <c r="B25" s="2" t="n">
        <f aca="false">COUNTIF(Programs!F2:F175,"Cross-tribal directory")</f>
        <v>8</v>
      </c>
    </row>
    <row r="26" customFormat="false" ht="15" hidden="false" customHeight="false" outlineLevel="0" collapsed="false">
      <c r="A26" s="2" t="s">
        <v>337</v>
      </c>
      <c r="B26" s="2" t="n">
        <f aca="false">COUNTIF(Programs!F2:F175,"Alaska Native corporation shareholder directory")</f>
        <v>7</v>
      </c>
    </row>
    <row r="27" customFormat="false" ht="15" hidden="false" customHeight="false" outlineLevel="0" collapsed="false">
      <c r="A27" s="2" t="s">
        <v>92</v>
      </c>
      <c r="B27" s="2" t="n">
        <f aca="false">COUNTIF(Programs!F2:F175,"Regional chamber directory")</f>
        <v>5</v>
      </c>
    </row>
    <row r="28" customFormat="false" ht="15" hidden="false" customHeight="false" outlineLevel="0" collapsed="false">
      <c r="A28" s="2" t="s">
        <v>219</v>
      </c>
      <c r="B28" s="2" t="n">
        <f aca="false">COUNTIF(Programs!F2:F175,"Artist directory")</f>
        <v>4</v>
      </c>
    </row>
    <row r="30" customFormat="false" ht="15" hidden="false" customHeight="false" outlineLevel="0" collapsed="false">
      <c r="A30" s="3" t="s">
        <v>2310</v>
      </c>
    </row>
    <row r="31" customFormat="false" ht="15" hidden="false" customHeight="false" outlineLevel="0" collapsed="false">
      <c r="A31" s="2" t="s">
        <v>2311</v>
      </c>
      <c r="B31" s="2" t="n">
        <f aca="false">COUNT(Programs!N2:N175)</f>
        <v>9</v>
      </c>
    </row>
    <row r="32" customFormat="false" ht="15" hidden="false" customHeight="false" outlineLevel="0" collapsed="false">
      <c r="A32" s="2" t="s">
        <v>2312</v>
      </c>
      <c r="B32" s="2" t="n">
        <f aca="false">SUM(Programs!N2:N175)</f>
        <v>181</v>
      </c>
    </row>
    <row r="34" customFormat="false" ht="35.05" hidden="false" customHeight="false" outlineLevel="0" collapsed="false">
      <c r="A34" s="4" t="s">
        <v>2313</v>
      </c>
    </row>
    <row r="36" customFormat="false" ht="15" hidden="false" customHeight="false" outlineLevel="0" collapsed="false">
      <c r="A36" s="3" t="s">
        <v>2314</v>
      </c>
    </row>
    <row r="37" customFormat="false" ht="15" hidden="false" customHeight="false" outlineLevel="0" collapsed="false">
      <c r="A37" s="2" t="s">
        <v>2315</v>
      </c>
      <c r="B37" s="2" t="n">
        <f aca="false">COUNTIF('Nation Coverage'!D2:D576,"list program(s) found")+COUNTIF('Nation Coverage'!D2:D576,"checked, no list found")</f>
        <v>574</v>
      </c>
    </row>
    <row r="38" customFormat="false" ht="15" hidden="false" customHeight="false" outlineLevel="0" collapsed="false">
      <c r="A38" s="2" t="s">
        <v>2316</v>
      </c>
      <c r="B38" s="2" t="n">
        <f aca="false">COUNTIF('Nation Coverage'!D2:D576,"list program(s) found")</f>
        <v>111</v>
      </c>
    </row>
    <row r="39" customFormat="false" ht="15" hidden="false" customHeight="false" outlineLevel="0" collapsed="false">
      <c r="A39" s="2" t="s">
        <v>2317</v>
      </c>
      <c r="B39" s="2" t="n">
        <f aca="false">COUNTIF('Nation Coverage'!D2:D576,"checked, no list found")</f>
        <v>463</v>
      </c>
    </row>
    <row r="40" customFormat="false" ht="15" hidden="false" customHeight="false" outlineLevel="0" collapsed="false">
      <c r="A40" s="2" t="s">
        <v>2318</v>
      </c>
      <c r="B40" s="2" t="n">
        <f aca="false">COUNTIF('Nation Coverage'!D2:D576,"covered via component bands")</f>
        <v>1</v>
      </c>
    </row>
    <row r="41" customFormat="false" ht="15" hidden="false" customHeight="false" outlineLevel="0" collapsed="false">
      <c r="A41" s="2" t="s">
        <v>2319</v>
      </c>
      <c r="B41" s="2" t="n">
        <f aca="false">SUM('Nation Coverage'!F2:F576)</f>
        <v>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2026-08-28T19:31:57Z</dcterms:created>
  <dc:creator>openpyxl</dc:creator>
  <dc:description/>
  <dc:language>en-US</dc:language>
  <cp:lastModifiedBy/>
  <dcterms:modified xsi:type="dcterms:W3CDTF">2026-08-28T19:31:57Z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
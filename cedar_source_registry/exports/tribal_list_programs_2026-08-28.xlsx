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<sst xmlns="http://schemas.openxmlformats.org/spreadsheetml/2006/main" count="2845" uniqueCount="1170">
  <si>
    <t xml:space="preserve">source_id</t>
  </si>
  <si>
    <t xml:space="preserve">nation_or_program</t>
  </si>
  <si>
    <t xml:space="preserve">state</t>
  </si>
  <si>
    <t xml:space="preserve">scope</t>
  </si>
  <si>
    <t xml:space="preserve">list_name</t>
  </si>
  <si>
    <t xml:space="preserve">list_type</t>
  </si>
  <si>
    <t xml:space="preserve">priority_class</t>
  </si>
  <si>
    <t xml:space="preserve">processing_status</t>
  </si>
  <si>
    <t xml:space="preserve">acquisition_mode</t>
  </si>
  <si>
    <t xml:space="preserve">format</t>
  </si>
  <si>
    <t xml:space="preserve">scrape_grade</t>
  </si>
  <si>
    <t xml:space="preserve">automation_score</t>
  </si>
  <si>
    <t xml:space="preserve">refresh_cadence</t>
  </si>
  <si>
    <t xml:space="preserve">approx_records</t>
  </si>
  <si>
    <t xml:space="preserve">authority</t>
  </si>
  <si>
    <t xml:space="preserve">rule_confidence</t>
  </si>
  <si>
    <t xml:space="preserve">directory_url</t>
  </si>
  <si>
    <t xml:space="preserve">last_checked</t>
  </si>
  <si>
    <t xml:space="preserve">TBD-165</t>
  </si>
  <si>
    <t xml:space="preserve">Alaska Native Village Corporation Association</t>
  </si>
  <si>
    <t xml:space="preserve">AK</t>
  </si>
  <si>
    <t xml:space="preserve">regional</t>
  </si>
  <si>
    <t xml:space="preserve">ANVCA Member Village Corporations</t>
  </si>
  <si>
    <t xml:space="preserve">ANC association membership</t>
  </si>
  <si>
    <t xml:space="preserve">Coverage Frame</t>
  </si>
  <si>
    <t xml:space="preserve">Complementary</t>
  </si>
  <si>
    <t xml:space="preserve">Crawl membership page for entity enumeration</t>
  </si>
  <si>
    <t xml:space="preserve">HTML</t>
  </si>
  <si>
    <t xml:space="preserve">C</t>
  </si>
  <si>
    <t xml:space="preserve">Quarterly</t>
  </si>
  <si>
    <t xml:space="preserve">High</t>
  </si>
  <si>
    <t xml:space="preserve">https://anvca.biz/</t>
  </si>
  <si>
    <t xml:space="preserve">2026-08-27</t>
  </si>
  <si>
    <t xml:space="preserve">TBD-164</t>
  </si>
  <si>
    <t xml:space="preserve">Oklahoma Department of Commerce</t>
  </si>
  <si>
    <t xml:space="preserve">OK</t>
  </si>
  <si>
    <t xml:space="preserve">Minority Business Certification Programs: Oklahoma TERO Program Enumeration</t>
  </si>
  <si>
    <t xml:space="preserve">State TERO coverage index</t>
  </si>
  <si>
    <t xml:space="preserve">Periodic PDF pull for program enumeration</t>
  </si>
  <si>
    <t xml:space="preserve">PDF</t>
  </si>
  <si>
    <t xml:space="preserve">https://www.okcommerce.gov/wp-content/uploads/Minority-Business-Certification-Programs.pdf</t>
  </si>
  <si>
    <t xml:space="preserve">TBD-163</t>
  </si>
  <si>
    <t xml:space="preserve">Council for Tribal Employment Rights</t>
  </si>
  <si>
    <t xml:space="preserve">US</t>
  </si>
  <si>
    <t xml:space="preserve">national</t>
  </si>
  <si>
    <t xml:space="preserve">CTER National TERO Program Coverage Frame</t>
  </si>
  <si>
    <t xml:space="preserve">National TERO umbrella organization</t>
  </si>
  <si>
    <t xml:space="preserve">Crawl for TERO program enumeration and hosted documents</t>
  </si>
  <si>
    <t xml:space="preserve">HTML plus hosted PDFs</t>
  </si>
  <si>
    <t xml:space="preserve">https://cter-tero.org/</t>
  </si>
  <si>
    <t xml:space="preserve">TBD-162</t>
  </si>
  <si>
    <t xml:space="preserve">Washington Office of Minority and Women’s Business Enterprises</t>
  </si>
  <si>
    <t xml:space="preserve">WA</t>
  </si>
  <si>
    <t xml:space="preserve">OMWBE Certified Businesses Directory: Native American Categories</t>
  </si>
  <si>
    <t xml:space="preserve">State certified-vendor directory</t>
  </si>
  <si>
    <t xml:space="preserve">Cross-Reference</t>
  </si>
  <si>
    <t xml:space="preserve">Directory query filtered to Native categories; monthly XLSX deltas</t>
  </si>
  <si>
    <t xml:space="preserve">Dynamic ASP directory plus monthly XLSX</t>
  </si>
  <si>
    <t xml:space="preserve">B</t>
  </si>
  <si>
    <t xml:space="preserve">Monthly</t>
  </si>
  <si>
    <t xml:space="preserve">Washington State Office of Minority and Women’s Business Enterprises</t>
  </si>
  <si>
    <t xml:space="preserve">https://omwbe.diversitycompliance.com/FrontEnd/SearchCertifiedDirectory.asp</t>
  </si>
  <si>
    <t xml:space="preserve">TBD-144</t>
  </si>
  <si>
    <t xml:space="preserve">South Dakota Department of Transportation</t>
  </si>
  <si>
    <t xml:space="preserve">SD</t>
  </si>
  <si>
    <t xml:space="preserve">South Dakota Tribal TERO Compliance Resource Index</t>
  </si>
  <si>
    <t xml:space="preserve">Coverage frame</t>
  </si>
  <si>
    <t xml:space="preserve">Landing-page and link-index scrape</t>
  </si>
  <si>
    <t xml:space="preserve">HTML plus linked PDFs</t>
  </si>
  <si>
    <t xml:space="preserve">A</t>
  </si>
  <si>
    <t xml:space="preserve">https://dot.sd.gov/programs-services/civil-rights/tribal-relations-tero/</t>
  </si>
  <si>
    <t xml:space="preserve">TBD-143</t>
  </si>
  <si>
    <t xml:space="preserve">Minnesota Department of Transportation</t>
  </si>
  <si>
    <t xml:space="preserve">MN</t>
  </si>
  <si>
    <t xml:space="preserve">Minnesota Tribal Employment Rights Office Coverage Frame</t>
  </si>
  <si>
    <t xml:space="preserve">Structured reference scrape</t>
  </si>
  <si>
    <t xml:space="preserve">11 tribal contacts</t>
  </si>
  <si>
    <t xml:space="preserve">https://www.dot.state.mn.us/civilrights/tribal-employment-rights-offices.html</t>
  </si>
  <si>
    <t xml:space="preserve">TBD-072</t>
  </si>
  <si>
    <t xml:space="preserve">Bureau of Indian Affairs</t>
  </si>
  <si>
    <t xml:space="preserve">National</t>
  </si>
  <si>
    <t xml:space="preserve">Tribal Leaders Directory</t>
  </si>
  <si>
    <t xml:space="preserve">Direct download</t>
  </si>
  <si>
    <t xml:space="preserve">HTML plus CSV/XLSX</t>
  </si>
  <si>
    <t xml:space="preserve">A+</t>
  </si>
  <si>
    <t xml:space="preserve">575 tribes (2026 listing)</t>
  </si>
  <si>
    <t xml:space="preserve">U.S. Bureau of Indian Affairs</t>
  </si>
  <si>
    <t xml:space="preserve">https://www.bia.gov/service/tribal-leaders-directory</t>
  </si>
  <si>
    <t xml:space="preserve">TBD-152</t>
  </si>
  <si>
    <t xml:space="preserve">American Indian Chamber of Commerce of Arizona</t>
  </si>
  <si>
    <t xml:space="preserve">AZ</t>
  </si>
  <si>
    <t xml:space="preserve">AICCAZ Members Directory</t>
  </si>
  <si>
    <t xml:space="preserve">Regional chamber directory</t>
  </si>
  <si>
    <t xml:space="preserve">Browser-assisted crawl or embedded endpoint discovery</t>
  </si>
  <si>
    <t xml:space="preserve">Dynamic MembershipWorks directory</t>
  </si>
  <si>
    <t xml:space="preserve">https://www.aiccaz.com/members-directory-page</t>
  </si>
  <si>
    <t xml:space="preserve">TBD-148</t>
  </si>
  <si>
    <t xml:space="preserve">Minnesota Indigenous Business Alliance</t>
  </si>
  <si>
    <t xml:space="preserve">Buy Native Biz Directory</t>
  </si>
  <si>
    <t xml:space="preserve">Regional and national Native-business directory</t>
  </si>
  <si>
    <t xml:space="preserve">Endpoint discovery or browser-assisted crawl</t>
  </si>
  <si>
    <t xml:space="preserve">Dynamic web directory</t>
  </si>
  <si>
    <t xml:space="preserve">Medium</t>
  </si>
  <si>
    <t xml:space="preserve">https://directory.mniba.org/</t>
  </si>
  <si>
    <t xml:space="preserve">TBD-017</t>
  </si>
  <si>
    <t xml:space="preserve">Sault Tribe Business Alliance</t>
  </si>
  <si>
    <t xml:space="preserve">MI</t>
  </si>
  <si>
    <t xml:space="preserve">single_nation</t>
  </si>
  <si>
    <t xml:space="preserve">Business Directory</t>
  </si>
  <si>
    <t xml:space="preserve">Cross-tribal directory</t>
  </si>
  <si>
    <t xml:space="preserve">Dynamic DOM scrape</t>
  </si>
  <si>
    <t xml:space="preserve">Tribal-affiliated nonprofit/chamber</t>
  </si>
  <si>
    <t xml:space="preserve">https://www.stballiance.org/directory</t>
  </si>
  <si>
    <t xml:space="preserve">TBD-155</t>
  </si>
  <si>
    <t xml:space="preserve">Montana Department of Commerce</t>
  </si>
  <si>
    <t xml:space="preserve">MT</t>
  </si>
  <si>
    <t xml:space="preserve">Native American Made in Montana Product Directory</t>
  </si>
  <si>
    <t xml:space="preserve">State product and producer directory</t>
  </si>
  <si>
    <t xml:space="preserve">Filter-aware directory scrape</t>
  </si>
  <si>
    <t xml:space="preserve">Searchable state directory</t>
  </si>
  <si>
    <t xml:space="preserve">https://commerce.mt.gov/Business/Programs-and-Services/Made-in-Montana/Products</t>
  </si>
  <si>
    <t xml:space="preserve">TBD-154</t>
  </si>
  <si>
    <t xml:space="preserve">Rocky Mountain Indian Chamber of Commerce</t>
  </si>
  <si>
    <t xml:space="preserve">CO / Rocky Mountain</t>
  </si>
  <si>
    <t xml:space="preserve">RMICC Member List</t>
  </si>
  <si>
    <t xml:space="preserve">DOM scrape</t>
  </si>
  <si>
    <t xml:space="preserve">HTML member/sponsor list</t>
  </si>
  <si>
    <t xml:space="preserve">https://rmicc.org/</t>
  </si>
  <si>
    <t xml:space="preserve">TBD-153</t>
  </si>
  <si>
    <t xml:space="preserve">American Indian Chamber of Commerce of Oklahoma</t>
  </si>
  <si>
    <t xml:space="preserve">AICCO Member Directory</t>
  </si>
  <si>
    <t xml:space="preserve">Statewide chamber directory</t>
  </si>
  <si>
    <t xml:space="preserve">Pagination/API discovery</t>
  </si>
  <si>
    <t xml:space="preserve">GrowthZone directory</t>
  </si>
  <si>
    <t xml:space="preserve">https://business.aiccok.org/directory</t>
  </si>
  <si>
    <t xml:space="preserve">TBD-151</t>
  </si>
  <si>
    <t xml:space="preserve">Northwest Native Chamber</t>
  </si>
  <si>
    <t xml:space="preserve">OR / WA / Northwest</t>
  </si>
  <si>
    <t xml:space="preserve">Native Member Directory</t>
  </si>
  <si>
    <t xml:space="preserve">Regional Native-member directory</t>
  </si>
  <si>
    <t xml:space="preserve">Endpoint discovery plus profile crawl</t>
  </si>
  <si>
    <t xml:space="preserve">Dynamic map and profile pages</t>
  </si>
  <si>
    <t xml:space="preserve">https://nwnc.org/native-member-directory/</t>
  </si>
  <si>
    <t xml:space="preserve">TBD-147</t>
  </si>
  <si>
    <t xml:space="preserve">Native American Community Development Institute</t>
  </si>
  <si>
    <t xml:space="preserve">NACDI Indigenous Resource Directory</t>
  </si>
  <si>
    <t xml:space="preserve">Regional resource and business directory</t>
  </si>
  <si>
    <t xml:space="preserve">Filter-aware DOM scrape</t>
  </si>
  <si>
    <t xml:space="preserve">Filterable HTML directory</t>
  </si>
  <si>
    <t xml:space="preserve">https://nacdi.org/directory/</t>
  </si>
  <si>
    <t xml:space="preserve">TBD-146</t>
  </si>
  <si>
    <t xml:space="preserve">Minnesota American Indian Chamber of Commerce</t>
  </si>
  <si>
    <t xml:space="preserve">MAICC Member Directory</t>
  </si>
  <si>
    <t xml:space="preserve">DOM scrape or directory endpoint discovery</t>
  </si>
  <si>
    <t xml:space="preserve">Dynamic member directory</t>
  </si>
  <si>
    <t xml:space="preserve">https://maicc.org/directory/</t>
  </si>
  <si>
    <t xml:space="preserve">TBD-071</t>
  </si>
  <si>
    <t xml:space="preserve">Washington Native American Chamber of Commerce</t>
  </si>
  <si>
    <t xml:space="preserve">Member Business Directory</t>
  </si>
  <si>
    <t xml:space="preserve">Directory scrape after endpoint verification</t>
  </si>
  <si>
    <t xml:space="preserve">Web directory / membership site</t>
  </si>
  <si>
    <t xml:space="preserve">Native chamber of commerce</t>
  </si>
  <si>
    <t xml:space="preserve">https://www.wnacc.org/</t>
  </si>
  <si>
    <t xml:space="preserve">TBD-069</t>
  </si>
  <si>
    <t xml:space="preserve">American Indigenous Business Leaders</t>
  </si>
  <si>
    <t xml:space="preserve">DOM scrape/API discovery</t>
  </si>
  <si>
    <t xml:space="preserve">Web directory</t>
  </si>
  <si>
    <t xml:space="preserve">Native nonprofit</t>
  </si>
  <si>
    <t xml:space="preserve">https://aibl.org/business-directory/</t>
  </si>
  <si>
    <t xml:space="preserve">TBD-067</t>
  </si>
  <si>
    <t xml:space="preserve">Washington Native Business Center</t>
  </si>
  <si>
    <t xml:space="preserve">Native Business Directory</t>
  </si>
  <si>
    <t xml:space="preserve">Native business-support organization</t>
  </si>
  <si>
    <t xml:space="preserve">https://nativebusinesscenter.com/business-directory/</t>
  </si>
  <si>
    <t xml:space="preserve">TBD-066</t>
  </si>
  <si>
    <t xml:space="preserve">Bureau of Indian Affairs / Buy Indian</t>
  </si>
  <si>
    <t xml:space="preserve">Buy Indian Native Vendor Resources / SAM Vendors</t>
  </si>
  <si>
    <t xml:space="preserve">API/data join</t>
  </si>
  <si>
    <t xml:space="preserve">HTML plus external procurement systems</t>
  </si>
  <si>
    <t xml:space="preserve">U.S. Department of the Interior / BIA</t>
  </si>
  <si>
    <t xml:space="preserve">https://www.bia.gov/as-ia/ocfo/buy-indian-act-info</t>
  </si>
  <si>
    <t xml:space="preserve">TBD-065</t>
  </si>
  <si>
    <t xml:space="preserve">Minneapolis Fed / Center for Indian Country Development</t>
  </si>
  <si>
    <t xml:space="preserve">Native Entity Enterprise Dataset (NEED)</t>
  </si>
  <si>
    <t xml:space="preserve">Government-owned enterprise dataset</t>
  </si>
  <si>
    <t xml:space="preserve">Download or request dataset</t>
  </si>
  <si>
    <t xml:space="preserve">Dataset / research page</t>
  </si>
  <si>
    <t xml:space="preserve">Annual</t>
  </si>
  <si>
    <t xml:space="preserve">5,559 establishments / 344 tribes</t>
  </si>
  <si>
    <t xml:space="preserve">Federal Reserve Bank of Minneapolis</t>
  </si>
  <si>
    <t xml:space="preserve">https://www.minneapolisfed.org/article/2025/new-data-showcase-the-breadth-of-tribally-owned-businesses</t>
  </si>
  <si>
    <t xml:space="preserve">TBD-156</t>
  </si>
  <si>
    <t xml:space="preserve">Colorado Department of Agriculture / Colorado Proud</t>
  </si>
  <si>
    <t xml:space="preserve">CO</t>
  </si>
  <si>
    <t xml:space="preserve">Native American-Owned Food and Agriculture Businesses</t>
  </si>
  <si>
    <t xml:space="preserve">State sector directory</t>
  </si>
  <si>
    <t xml:space="preserve">Static DOM scrape</t>
  </si>
  <si>
    <t xml:space="preserve">HTML profiles/list</t>
  </si>
  <si>
    <t xml:space="preserve">Colorado Department of Agriculture</t>
  </si>
  <si>
    <t xml:space="preserve">https://coloradoproud.com/nativeowned/</t>
  </si>
  <si>
    <t xml:space="preserve">TBD-150</t>
  </si>
  <si>
    <t xml:space="preserve">American Indian Chamber of Commerce of New Mexico</t>
  </si>
  <si>
    <t xml:space="preserve">NM</t>
  </si>
  <si>
    <t xml:space="preserve">AICCNM Member Directory</t>
  </si>
  <si>
    <t xml:space="preserve">Long-form HTML directory</t>
  </si>
  <si>
    <t xml:space="preserve">https://www.aiccnm.com/member-directory</t>
  </si>
  <si>
    <t xml:space="preserve">TBD-149</t>
  </si>
  <si>
    <t xml:space="preserve">Wisconsin &amp; Midwest Native Entrepreneurs Directory</t>
  </si>
  <si>
    <t xml:space="preserve">WI / Midwest</t>
  </si>
  <si>
    <t xml:space="preserve">Native Biz Directory</t>
  </si>
  <si>
    <t xml:space="preserve">Regional Native-owned business directory</t>
  </si>
  <si>
    <t xml:space="preserve">Static or category-aware DOM scrape</t>
  </si>
  <si>
    <t xml:space="preserve">HTML directory</t>
  </si>
  <si>
    <t xml:space="preserve">100+</t>
  </si>
  <si>
    <t xml:space="preserve">Wisconsin Indigenous economic-development initiative</t>
  </si>
  <si>
    <t xml:space="preserve">https://nativebizdirectory.com/index.html</t>
  </si>
  <si>
    <t xml:space="preserve">TBD-070</t>
  </si>
  <si>
    <t xml:space="preserve">First Peoples Fund</t>
  </si>
  <si>
    <t xml:space="preserve">Artist Directory</t>
  </si>
  <si>
    <t xml:space="preserve">Artist directory</t>
  </si>
  <si>
    <t xml:space="preserve">Directory scrape</t>
  </si>
  <si>
    <t xml:space="preserve">https://www.firstpeoplesfund.org/about/artists-directory</t>
  </si>
  <si>
    <t xml:space="preserve">TBD-068</t>
  </si>
  <si>
    <t xml:space="preserve">Texas Native Health</t>
  </si>
  <si>
    <t xml:space="preserve">TX</t>
  </si>
  <si>
    <t xml:space="preserve">Native-Owned Business Directory</t>
  </si>
  <si>
    <t xml:space="preserve">Static/dynamic DOM scrape</t>
  </si>
  <si>
    <t xml:space="preserve">https://texasnativehealth.org/native-owned-business-directory/</t>
  </si>
  <si>
    <t xml:space="preserve">TBD-064</t>
  </si>
  <si>
    <t xml:space="preserve">United South and Eastern Tribes</t>
  </si>
  <si>
    <t xml:space="preserve">Regional</t>
  </si>
  <si>
    <t xml:space="preserve">Tribal Enterprise Directory</t>
  </si>
  <si>
    <t xml:space="preserve">HTML / directory</t>
  </si>
  <si>
    <t xml:space="preserve">600+</t>
  </si>
  <si>
    <t xml:space="preserve">USET Sovereignty Protection Fund</t>
  </si>
  <si>
    <t xml:space="preserve">https://www.usetinc.org/departments/economic-development/tribal-enterprise-directory/</t>
  </si>
  <si>
    <t xml:space="preserve">TBD-063</t>
  </si>
  <si>
    <t xml:space="preserve">U.S. Indian Arts and Crafts Board</t>
  </si>
  <si>
    <t xml:space="preserve">Source Directory of American Indian and Alaska Native Owned and Operated Arts and Crafts Businesses</t>
  </si>
  <si>
    <t xml:space="preserve">Structured directory scrape</t>
  </si>
  <si>
    <t xml:space="preserve">500+</t>
  </si>
  <si>
    <t xml:space="preserve">U.S. Department of the Interior</t>
  </si>
  <si>
    <t xml:space="preserve">https://www.doi.gov/iacb/source-directory-arts-and-crafts-businesses</t>
  </si>
  <si>
    <t xml:space="preserve">TBD-145</t>
  </si>
  <si>
    <t xml:space="preserve">Minnesota Office of State Procurement</t>
  </si>
  <si>
    <t xml:space="preserve">TG/ED/VO Certified Vendor Directory: Indigenous American Category</t>
  </si>
  <si>
    <t xml:space="preserve">Direct CSV download filtered to category I</t>
  </si>
  <si>
    <t xml:space="preserve">Searchable HTML plus CSV</t>
  </si>
  <si>
    <t xml:space="preserve">State of Minnesota Department of Administration</t>
  </si>
  <si>
    <t xml:space="preserve">https://mn.gov/admin/osp/about-us/state-government/procuregoodsandgeneralservices/tgedvo-directory/</t>
  </si>
  <si>
    <t xml:space="preserve">TBD-028</t>
  </si>
  <si>
    <t xml:space="preserve">Keweenaw Bay Indian Community</t>
  </si>
  <si>
    <t xml:space="preserve">Tribal Member-Owned Business Directory</t>
  </si>
  <si>
    <t xml:space="preserve">Member-owned directory</t>
  </si>
  <si>
    <t xml:space="preserve">Tribal Secondary</t>
  </si>
  <si>
    <t xml:space="preserve">Historical</t>
  </si>
  <si>
    <t xml:space="preserve">Historical archive parse; contact program</t>
  </si>
  <si>
    <t xml:space="preserve">PDF newsletter</t>
  </si>
  <si>
    <t xml:space="preserve">D</t>
  </si>
  <si>
    <t xml:space="preserve">Official tribal newsletter</t>
  </si>
  <si>
    <t xml:space="preserve">https://www.kbic-nsn.gov/wp-content/uploads/2025/03/September2004.pdf</t>
  </si>
  <si>
    <t xml:space="preserve">2026-08-28</t>
  </si>
  <si>
    <t xml:space="preserve">TBD-027</t>
  </si>
  <si>
    <t xml:space="preserve">Catawba Nation</t>
  </si>
  <si>
    <t xml:space="preserve">SC</t>
  </si>
  <si>
    <t xml:space="preserve">Tribal Member Owned Businesses Directory</t>
  </si>
  <si>
    <t xml:space="preserve">Monitor/search; contact economic development</t>
  </si>
  <si>
    <t xml:space="preserve">Unknown</t>
  </si>
  <si>
    <t xml:space="preserve">Semiannual</t>
  </si>
  <si>
    <t xml:space="preserve">Historical official/state reference</t>
  </si>
  <si>
    <t xml:space="preserve">Low</t>
  </si>
  <si>
    <t xml:space="preserve">https://www.catawba.com/</t>
  </si>
  <si>
    <t xml:space="preserve">TBD-020</t>
  </si>
  <si>
    <t xml:space="preserve">Citizen Potawatomi Nation</t>
  </si>
  <si>
    <t xml:space="preserve">Tribal Member Businesses</t>
  </si>
  <si>
    <t xml:space="preserve">Image archive plus manual extraction</t>
  </si>
  <si>
    <t xml:space="preserve">Image / redirect</t>
  </si>
  <si>
    <t xml:space="preserve">Official tribal news</t>
  </si>
  <si>
    <t xml:space="preserve">https://cpn.news/business</t>
  </si>
  <si>
    <t xml:space="preserve">TBD-178</t>
  </si>
  <si>
    <t xml:space="preserve">Tanana Chiefs Conference (Interior Alaska regional consortium)</t>
  </si>
  <si>
    <t xml:space="preserve">TCC TERO Indian-owned vendor listing (42 member villages)</t>
  </si>
  <si>
    <t xml:space="preserve">Consortium TERO / certified procurement</t>
  </si>
  <si>
    <t xml:space="preserve">Tribal Partnership</t>
  </si>
  <si>
    <t xml:space="preserve">Lead</t>
  </si>
  <si>
    <t xml:space="preserve">Request directly from TCC TERO</t>
  </si>
  <si>
    <t xml:space="preserve">Program page; list not posted</t>
  </si>
  <si>
    <t xml:space="preserve">Tanana Chiefs Conference TERO</t>
  </si>
  <si>
    <t xml:space="preserve">https://www.tananachiefs.org/services/job-training/tero/</t>
  </si>
  <si>
    <t xml:space="preserve">TBD-167</t>
  </si>
  <si>
    <t xml:space="preserve">Nisqually Indian Tribe</t>
  </si>
  <si>
    <t xml:space="preserve">Nisqually NAOB Registry (TERO certified Native American Owned Businesses)</t>
  </si>
  <si>
    <t xml:space="preserve">TERO / certified procurement</t>
  </si>
  <si>
    <t xml:space="preserve">Request directly from TERO</t>
  </si>
  <si>
    <t xml:space="preserve">PDF references; list not posted</t>
  </si>
  <si>
    <t xml:space="preserve">Nisqually TERO</t>
  </si>
  <si>
    <t xml:space="preserve">http://www.nisqually-nsn.gov/files/4716/2388/4801/TERO_Orientation.pdf</t>
  </si>
  <si>
    <t xml:space="preserve">TBD-161</t>
  </si>
  <si>
    <t xml:space="preserve">American Indian Chamber of Commerce of California</t>
  </si>
  <si>
    <t xml:space="preserve">CA</t>
  </si>
  <si>
    <t xml:space="preserve">AICCCAL Member Businesses</t>
  </si>
  <si>
    <t xml:space="preserve">Confirm directory access, then crawl</t>
  </si>
  <si>
    <t xml:space="preserve">HTML organization site</t>
  </si>
  <si>
    <t xml:space="preserve">https://aicccal.org/</t>
  </si>
  <si>
    <t xml:space="preserve">TBD-121</t>
  </si>
  <si>
    <t xml:space="preserve">Squaxin Island Tribe</t>
  </si>
  <si>
    <t xml:space="preserve">Contractor Registry</t>
  </si>
  <si>
    <t xml:space="preserve">Mixed contractor registry</t>
  </si>
  <si>
    <t xml:space="preserve">Discovery Only</t>
  </si>
  <si>
    <t xml:space="preserve">Request export or monitor directory publication</t>
  </si>
  <si>
    <t xml:space="preserve">HTML plus online form</t>
  </si>
  <si>
    <t xml:space="preserve">Official Squaxin Island Tribe</t>
  </si>
  <si>
    <t xml:space="preserve">https://squaxinisland.org/contractor-registration/</t>
  </si>
  <si>
    <t xml:space="preserve">TBD-160</t>
  </si>
  <si>
    <t xml:space="preserve">Osage Nation</t>
  </si>
  <si>
    <t xml:space="preserve">Tax Commission Registered Vendor Records</t>
  </si>
  <si>
    <t xml:space="preserve">Tribal vendor registration</t>
  </si>
  <si>
    <t xml:space="preserve">Partnership request</t>
  </si>
  <si>
    <t xml:space="preserve">HTML plus PDF application packet</t>
  </si>
  <si>
    <t xml:space="preserve">Official Osage Nation</t>
  </si>
  <si>
    <t xml:space="preserve">https://www.osagenation-nsn.gov/business</t>
  </si>
  <si>
    <t xml:space="preserve">TBD-159</t>
  </si>
  <si>
    <t xml:space="preserve">Turtle Mountain Band of Chippewa Indians</t>
  </si>
  <si>
    <t xml:space="preserve">ND</t>
  </si>
  <si>
    <t xml:space="preserve">TERO Indian-Owned Business Certifications</t>
  </si>
  <si>
    <t xml:space="preserve">HTML tribal code</t>
  </si>
  <si>
    <t xml:space="preserve">Official Turtle Mountain Band tribal code</t>
  </si>
  <si>
    <t xml:space="preserve">https://www.narf.org/nill/triballaw/us/nsn/tmchippewa/council/code/32.02.010/</t>
  </si>
  <si>
    <t xml:space="preserve">TBD-158</t>
  </si>
  <si>
    <t xml:space="preserve">Pascua Yaqui Tribe</t>
  </si>
  <si>
    <t xml:space="preserve">TERO Indian Enterprise Qualification Records</t>
  </si>
  <si>
    <t xml:space="preserve">HTML plus PDF forms</t>
  </si>
  <si>
    <t xml:space="preserve">Official Pascua Yaqui Tribe TERO</t>
  </si>
  <si>
    <t xml:space="preserve">https://www.pascuayaqui-nsn.gov/development-services/tero/</t>
  </si>
  <si>
    <t xml:space="preserve">TBD-126</t>
  </si>
  <si>
    <t xml:space="preserve">Ahtna, Inc.</t>
  </si>
  <si>
    <t xml:space="preserve">Ahtna Shareholder Businesses</t>
  </si>
  <si>
    <t xml:space="preserve">Alaska Native corporation shareholder directory</t>
  </si>
  <si>
    <t xml:space="preserve">Request submission export or resolve listing component</t>
  </si>
  <si>
    <t xml:space="preserve">HTML plus form</t>
  </si>
  <si>
    <t xml:space="preserve">https://www.ahtna.com/shareholders/shareholder-businesses/</t>
  </si>
  <si>
    <t xml:space="preserve">TBD-157</t>
  </si>
  <si>
    <t xml:space="preserve">Gila River Indian Community</t>
  </si>
  <si>
    <t xml:space="preserve">TERO Contractor Compliance Registry</t>
  </si>
  <si>
    <t xml:space="preserve">HTML program page</t>
  </si>
  <si>
    <t xml:space="preserve">Official Gila River Indian Community TERO</t>
  </si>
  <si>
    <t xml:space="preserve">https://grictraining.org/index.php/tero</t>
  </si>
  <si>
    <t xml:space="preserve">TBD-138</t>
  </si>
  <si>
    <t xml:space="preserve">Quapaw Nation</t>
  </si>
  <si>
    <t xml:space="preserve">TERO Certified Indian-Owned Entity List</t>
  </si>
  <si>
    <t xml:space="preserve">Official plan document</t>
  </si>
  <si>
    <t xml:space="preserve">Official Quapaw Nation TERO implementation plan</t>
  </si>
  <si>
    <t xml:space="preserve">https://quapawtribe.com/DocumentCenter/View/11802</t>
  </si>
  <si>
    <t xml:space="preserve">TBD-137</t>
  </si>
  <si>
    <t xml:space="preserve">Ho-Chunk Nation</t>
  </si>
  <si>
    <t xml:space="preserve">WI</t>
  </si>
  <si>
    <t xml:space="preserve">Certified Ho-Chunk-Owned Vendor Registry</t>
  </si>
  <si>
    <t xml:space="preserve">Certified procurement</t>
  </si>
  <si>
    <t xml:space="preserve">Procurement PDFs</t>
  </si>
  <si>
    <t xml:space="preserve">Official Ho-Chunk Nation procurement</t>
  </si>
  <si>
    <t xml:space="preserve">https://ho-chunknation.com/wp-content/uploads/2024/09/Beloit-Commissioning-Agent-RFP.pdf</t>
  </si>
  <si>
    <t xml:space="preserve">TBD-136</t>
  </si>
  <si>
    <t xml:space="preserve">Saint Regis Mohawk Tribe</t>
  </si>
  <si>
    <t xml:space="preserve">NY</t>
  </si>
  <si>
    <t xml:space="preserve">Certified Native American Companies List</t>
  </si>
  <si>
    <t xml:space="preserve">Native preference / certified procurement</t>
  </si>
  <si>
    <t xml:space="preserve">Request current list from Compliance Department</t>
  </si>
  <si>
    <t xml:space="preserve">Policy PDF</t>
  </si>
  <si>
    <t xml:space="preserve">Official Saint Regis Mohawk Tribe Compliance Department</t>
  </si>
  <si>
    <t xml:space="preserve">https://craft-srmt.files.svdcdn.com/production/_uploads/2021-V003-Native-Preference-Policy.pdf?dm=1741104153</t>
  </si>
  <si>
    <t xml:space="preserve">TBD-135</t>
  </si>
  <si>
    <t xml:space="preserve">Prairie Island Indian Community</t>
  </si>
  <si>
    <t xml:space="preserve">TERO Native American Contractor Registry</t>
  </si>
  <si>
    <t xml:space="preserve">HTML plus procurement PDF</t>
  </si>
  <si>
    <t xml:space="preserve">Official Prairie Island Indian Community TERO</t>
  </si>
  <si>
    <t xml:space="preserve">https://prairieisland.org/tribal-employment-rights-office</t>
  </si>
  <si>
    <t xml:space="preserve">TBD-134</t>
  </si>
  <si>
    <t xml:space="preserve">Bois Forte Band of Chippewa</t>
  </si>
  <si>
    <t xml:space="preserve">Native Preference Contractor / Enterprise Registry</t>
  </si>
  <si>
    <t xml:space="preserve">HTML plus procurement PDFs</t>
  </si>
  <si>
    <t xml:space="preserve">Official Bois Forte Band TERO and procurement</t>
  </si>
  <si>
    <t xml:space="preserve">https://boisforte.com/resources/assistance-services/tribal-employment-rights-office/</t>
  </si>
  <si>
    <t xml:space="preserve">TBD-133</t>
  </si>
  <si>
    <t xml:space="preserve">Fond du Lac Band of Lake Superior Chippewa</t>
  </si>
  <si>
    <t xml:space="preserve">TERO Qualified Indian-Owned Business / Subcontractor List</t>
  </si>
  <si>
    <t xml:space="preserve">HTML plus forms</t>
  </si>
  <si>
    <t xml:space="preserve">Official Fond du Lac Band TERO</t>
  </si>
  <si>
    <t xml:space="preserve">https://www.fdlband.org/community/tero_program/for_contractors.php</t>
  </si>
  <si>
    <t xml:space="preserve">TBD-132</t>
  </si>
  <si>
    <t xml:space="preserve">Mille Lacs Band of Ojibwe</t>
  </si>
  <si>
    <t xml:space="preserve">TERO Native American Owned Business Certification Registry</t>
  </si>
  <si>
    <t xml:space="preserve">Partnership request; monitor certification page</t>
  </si>
  <si>
    <t xml:space="preserve">HTML plus fillable PDF</t>
  </si>
  <si>
    <t xml:space="preserve">Official Mille Lacs Band TERO</t>
  </si>
  <si>
    <t xml:space="preserve">https://millelacsband.com/government/departmentspublic/tero</t>
  </si>
  <si>
    <t xml:space="preserve">TBD-124</t>
  </si>
  <si>
    <t xml:space="preserve">Pueblo of Laguna</t>
  </si>
  <si>
    <t xml:space="preserve">Indian Preference Business Compliance Registry</t>
  </si>
  <si>
    <t xml:space="preserve">Partnership/request</t>
  </si>
  <si>
    <t xml:space="preserve">Official Pueblo of Laguna</t>
  </si>
  <si>
    <t xml:space="preserve">https://www.lagunapueblo-nsn.gov/departments/tax-administration/employment-compliance/</t>
  </si>
  <si>
    <t xml:space="preserve">TBD-123</t>
  </si>
  <si>
    <t xml:space="preserve">Colorado River Indian Tribes</t>
  </si>
  <si>
    <t xml:space="preserve">AZ/CA</t>
  </si>
  <si>
    <t xml:space="preserve">Prequalified Indian and Indian-Owned Enterprise Lists</t>
  </si>
  <si>
    <t xml:space="preserve">Procurement / preference registry</t>
  </si>
  <si>
    <t xml:space="preserve">Partnership/request and policy refresh verification</t>
  </si>
  <si>
    <t xml:space="preserve">Official policy PDF</t>
  </si>
  <si>
    <t xml:space="preserve">Official Colorado River Indian Tribes procurement policy</t>
  </si>
  <si>
    <t xml:space="preserve">https://crit-nsn.gov/</t>
  </si>
  <si>
    <t xml:space="preserve">TBD-122</t>
  </si>
  <si>
    <t xml:space="preserve">Central Council of the Tlingit and Haida Indian Tribes of Alaska</t>
  </si>
  <si>
    <t xml:space="preserve">Tlingit &amp; Haida Native-Owned Business Directory</t>
  </si>
  <si>
    <t xml:space="preserve">Member / Native-owned directory</t>
  </si>
  <si>
    <t xml:space="preserve">Monitor launch and request export</t>
  </si>
  <si>
    <t xml:space="preserve">Official website plus social intake announcement</t>
  </si>
  <si>
    <t xml:space="preserve">Official Tlingit &amp; Haida communications</t>
  </si>
  <si>
    <t xml:space="preserve">https://tlingitandhaida.gov/</t>
  </si>
  <si>
    <t xml:space="preserve">TBD-119</t>
  </si>
  <si>
    <t xml:space="preserve">San Carlos Apache Tribe</t>
  </si>
  <si>
    <t xml:space="preserve">TERO Local Indian Business / Contractor Registry</t>
  </si>
  <si>
    <t xml:space="preserve">Resolve official endpoint or request export</t>
  </si>
  <si>
    <t xml:space="preserve">HTML program page plus unresolved resource link</t>
  </si>
  <si>
    <t xml:space="preserve">Official San Carlos Apache Tribe TERO</t>
  </si>
  <si>
    <t xml:space="preserve">https://www.scat-nsn.gov/tero-2/</t>
  </si>
  <si>
    <t xml:space="preserve">TBD-118</t>
  </si>
  <si>
    <t xml:space="preserve">Pyramid Lake Paiute Tribe</t>
  </si>
  <si>
    <t xml:space="preserve">NV</t>
  </si>
  <si>
    <t xml:space="preserve">TERO Preference Business Register</t>
  </si>
  <si>
    <t xml:space="preserve">Official Pyramid Lake Paiute Tribe TERO</t>
  </si>
  <si>
    <t xml:space="preserve">https://plpt.nsn.us/tero/</t>
  </si>
  <si>
    <t xml:space="preserve">TBD-117</t>
  </si>
  <si>
    <t xml:space="preserve">Crow Tribe of Indians</t>
  </si>
  <si>
    <t xml:space="preserve">Crow TERO Approved Contractor List</t>
  </si>
  <si>
    <t xml:space="preserve">Request current official export</t>
  </si>
  <si>
    <t xml:space="preserve">Official program page plus procurement attachment/reference</t>
  </si>
  <si>
    <t xml:space="preserve">Crow Tribe TERO, corroborated by federal procurement notices</t>
  </si>
  <si>
    <t xml:space="preserve">https://www.crow-nsn.gov/tero.html</t>
  </si>
  <si>
    <t xml:space="preserve">TBD-116</t>
  </si>
  <si>
    <t xml:space="preserve">Omaha Tribe of Nebraska</t>
  </si>
  <si>
    <t xml:space="preserve">NE</t>
  </si>
  <si>
    <t xml:space="preserve">Native-Owned Business and Subcontractor Registry</t>
  </si>
  <si>
    <t xml:space="preserve">Official Omaha Tribe TERO</t>
  </si>
  <si>
    <t xml:space="preserve">https://www.omahatribe.com/tribe-departments/employment-rights-office/</t>
  </si>
  <si>
    <t xml:space="preserve">TBD-115</t>
  </si>
  <si>
    <t xml:space="preserve">Lumbee Tribe of North Carolina</t>
  </si>
  <si>
    <t xml:space="preserve">NC</t>
  </si>
  <si>
    <t xml:space="preserve">Lumbee Business Spotlight</t>
  </si>
  <si>
    <t xml:space="preserve">Member-business intake / spotlight</t>
  </si>
  <si>
    <t xml:space="preserve">Request form export or crawl published spotlights</t>
  </si>
  <si>
    <t xml:space="preserve">Dynamic HTML form</t>
  </si>
  <si>
    <t xml:space="preserve">Official Lumbee Tribe of North Carolina</t>
  </si>
  <si>
    <t xml:space="preserve">https://www.lumbeetribe.com/business-spotlight</t>
  </si>
  <si>
    <t xml:space="preserve">TBD-114</t>
  </si>
  <si>
    <t xml:space="preserve">Mashpee Wampanoag Tribe</t>
  </si>
  <si>
    <t xml:space="preserve">MA</t>
  </si>
  <si>
    <t xml:space="preserve">TERO Vendor Company Registry</t>
  </si>
  <si>
    <t xml:space="preserve">HTML plus application</t>
  </si>
  <si>
    <t xml:space="preserve">Official Mashpee Wampanoag Tribe TERO</t>
  </si>
  <si>
    <t xml:space="preserve">https://mashpeewampanoagtribe-nsn.gov/tero</t>
  </si>
  <si>
    <t xml:space="preserve">TBD-112</t>
  </si>
  <si>
    <t xml:space="preserve">Red Lake Nation</t>
  </si>
  <si>
    <t xml:space="preserve">Indian Preference Certified Firm List</t>
  </si>
  <si>
    <t xml:space="preserve">Official Red Lake Nation TERO</t>
  </si>
  <si>
    <t xml:space="preserve">https://rlntero.com/about-us</t>
  </si>
  <si>
    <t xml:space="preserve">TBD-109</t>
  </si>
  <si>
    <t xml:space="preserve">Swinomish Indian Tribal Community</t>
  </si>
  <si>
    <t xml:space="preserve">Indian-Owned Enterprise Register</t>
  </si>
  <si>
    <t xml:space="preserve">PDF/code</t>
  </si>
  <si>
    <t xml:space="preserve">Official Swinomish Tribal Code</t>
  </si>
  <si>
    <t xml:space="preserve">https://www.swinomish-nsn.gov/media/2086</t>
  </si>
  <si>
    <t xml:space="preserve">TBD-107</t>
  </si>
  <si>
    <t xml:space="preserve">Wichita and Affiliated Tribes</t>
  </si>
  <si>
    <t xml:space="preserve">Certified Vendor and Native Artist Lists</t>
  </si>
  <si>
    <t xml:space="preserve">Monitor launch and request structured exports</t>
  </si>
  <si>
    <t xml:space="preserve">Official Wichita and Affiliated Tribes TERO</t>
  </si>
  <si>
    <t xml:space="preserve">https://wichitatribe.com/tero/</t>
  </si>
  <si>
    <t xml:space="preserve">TBD-106</t>
  </si>
  <si>
    <t xml:space="preserve">Cheyenne and Arapaho Tribes</t>
  </si>
  <si>
    <t xml:space="preserve">TERO Certified Vendor List</t>
  </si>
  <si>
    <t xml:space="preserve">Official Cheyenne and Arapaho Tribes TERO</t>
  </si>
  <si>
    <t xml:space="preserve">https://www.cheyenneandarapaho-nsn.gov/labor/tero</t>
  </si>
  <si>
    <t xml:space="preserve">TBD-105</t>
  </si>
  <si>
    <t xml:space="preserve">Comanche Nation</t>
  </si>
  <si>
    <t xml:space="preserve">TERO Preferred Vendor List</t>
  </si>
  <si>
    <t xml:space="preserve">Partnership request and RFP monitoring</t>
  </si>
  <si>
    <t xml:space="preserve">HTML procurement page</t>
  </si>
  <si>
    <t xml:space="preserve">Official Comanche Nation procurement/TERO</t>
  </si>
  <si>
    <t xml:space="preserve">https://www.comanchenation.com/rfps</t>
  </si>
  <si>
    <t xml:space="preserve">TBD-104</t>
  </si>
  <si>
    <t xml:space="preserve">Kiowa Tribe</t>
  </si>
  <si>
    <t xml:space="preserve">Official Kiowa Tribe TERO</t>
  </si>
  <si>
    <t xml:space="preserve">https://www.kiowatribe.org/department/tribal-employment-rights-office</t>
  </si>
  <si>
    <t xml:space="preserve">TBD-103</t>
  </si>
  <si>
    <t xml:space="preserve">Seminole Nation of Oklahoma</t>
  </si>
  <si>
    <t xml:space="preserve">TERO Contractor and Artist Certification Rosters</t>
  </si>
  <si>
    <t xml:space="preserve">HTML plus online forms</t>
  </si>
  <si>
    <t xml:space="preserve">Official Seminole Nation TERO</t>
  </si>
  <si>
    <t xml:space="preserve">https://www.sno-nsn.org/getpage.php?name=Tribal_Employment_Rights_Office_-_APPLICATION_ONLINE</t>
  </si>
  <si>
    <t xml:space="preserve">TBD-102</t>
  </si>
  <si>
    <t xml:space="preserve">Chippewa Cree Tribe of the Rocky Boy’s Reservation</t>
  </si>
  <si>
    <t xml:space="preserve">Rocky Boy’s TERO Subcontractor List</t>
  </si>
  <si>
    <t xml:space="preserve">Official Chippewa Cree TERO</t>
  </si>
  <si>
    <t xml:space="preserve">https://cctero.com/documents/</t>
  </si>
  <si>
    <t xml:space="preserve">TBD-101</t>
  </si>
  <si>
    <t xml:space="preserve">Oglala Sioux Tribe</t>
  </si>
  <si>
    <t xml:space="preserve">TERO Certified Indian-Owned Firm List</t>
  </si>
  <si>
    <t xml:space="preserve">Partnership request and official-site verification</t>
  </si>
  <si>
    <t xml:space="preserve">HTML code</t>
  </si>
  <si>
    <t xml:space="preserve">Oglala Sioux TERO code repository</t>
  </si>
  <si>
    <t xml:space="preserve">https://narf.org/nill/codes/oglala_sioux/chapter18-tero.html</t>
  </si>
  <si>
    <t xml:space="preserve">TBD-100</t>
  </si>
  <si>
    <t xml:space="preserve">Klamath Tribes</t>
  </si>
  <si>
    <t xml:space="preserve">OR</t>
  </si>
  <si>
    <t xml:space="preserve">TERO Indian-Owned Business List</t>
  </si>
  <si>
    <t xml:space="preserve">Partnership request and site monitoring</t>
  </si>
  <si>
    <t xml:space="preserve">Fillable PDF application</t>
  </si>
  <si>
    <t xml:space="preserve">Official Klamath Tribes TERO</t>
  </si>
  <si>
    <t xml:space="preserve">https://klamathtribes.org/wp-content/uploads/2025/07/TERO-INDIAN-OWNED-BUSINESS-APPLICATION.pdf</t>
  </si>
  <si>
    <t xml:space="preserve">TBD-099</t>
  </si>
  <si>
    <t xml:space="preserve">Ute Mountain Ute Tribe</t>
  </si>
  <si>
    <t xml:space="preserve">TERO Indian-Owned Business Certification List</t>
  </si>
  <si>
    <t xml:space="preserve">Official Ute Mountain Ute Tribe TERO</t>
  </si>
  <si>
    <t xml:space="preserve">https://www.utemountainutetribe.com/tero.html</t>
  </si>
  <si>
    <t xml:space="preserve">TBD-098</t>
  </si>
  <si>
    <t xml:space="preserve">Karuk Tribe</t>
  </si>
  <si>
    <t xml:space="preserve">TERO Karuk-Owned Indian Business Roster</t>
  </si>
  <si>
    <t xml:space="preserve">Official Karuk Tribe TERO</t>
  </si>
  <si>
    <t xml:space="preserve">https://www.karuk.us/departments/tribal-employment-rights-ordinance-office-tero</t>
  </si>
  <si>
    <t xml:space="preserve">TBD-097</t>
  </si>
  <si>
    <t xml:space="preserve">Eastern Shoshone Tribe and Northern Arapaho Tribe / Wind River</t>
  </si>
  <si>
    <t xml:space="preserve">WY</t>
  </si>
  <si>
    <t xml:space="preserve">multi_nation</t>
  </si>
  <si>
    <t xml:space="preserve">Wind River TERO Indian-Owned Business List</t>
  </si>
  <si>
    <t xml:space="preserve">Wind River TERO</t>
  </si>
  <si>
    <t xml:space="preserve">https://www.windriver-tero.com/documents/</t>
  </si>
  <si>
    <t xml:space="preserve">TBD-096</t>
  </si>
  <si>
    <t xml:space="preserve">Assiniboine and Sioux Tribes of the Fort Peck Indian Reservation</t>
  </si>
  <si>
    <t xml:space="preserve">TERO Certified Entity List</t>
  </si>
  <si>
    <t xml:space="preserve">Partnership request and official-site monitoring</t>
  </si>
  <si>
    <t xml:space="preserve">Official Fort Peck Tribal Code</t>
  </si>
  <si>
    <t xml:space="preserve">https://fptc.org/title_13</t>
  </si>
  <si>
    <t xml:space="preserve">TBD-095</t>
  </si>
  <si>
    <t xml:space="preserve">Northern Cheyenne Tribe</t>
  </si>
  <si>
    <t xml:space="preserve">TERO Certified Contractor List</t>
  </si>
  <si>
    <t xml:space="preserve">Official Northern Cheyenne Tribe TERO</t>
  </si>
  <si>
    <t xml:space="preserve">https://cheyennenation.com/nct/Tero.html</t>
  </si>
  <si>
    <t xml:space="preserve">TBD-058</t>
  </si>
  <si>
    <t xml:space="preserve">Spirit Lake Nation</t>
  </si>
  <si>
    <t xml:space="preserve">Tribally Owned and Certified Indian-Owned Business List</t>
  </si>
  <si>
    <t xml:space="preserve">PDF code</t>
  </si>
  <si>
    <t xml:space="preserve">Official tribal ordinance</t>
  </si>
  <si>
    <t xml:space="preserve">https://www.spiritlakenation.com/linkgen/?media_id=4267</t>
  </si>
  <si>
    <t xml:space="preserve">TBD-056</t>
  </si>
  <si>
    <t xml:space="preserve">Yavapai-Apache Nation</t>
  </si>
  <si>
    <t xml:space="preserve">TERO Certified Firm List</t>
  </si>
  <si>
    <t xml:space="preserve">HTML plus PDF</t>
  </si>
  <si>
    <t xml:space="preserve">Official tribal code/procurement materials</t>
  </si>
  <si>
    <t xml:space="preserve">https://yavapai-apache.org/documents/</t>
  </si>
  <si>
    <t xml:space="preserve">TBD-055</t>
  </si>
  <si>
    <t xml:space="preserve">Yakama Nation</t>
  </si>
  <si>
    <t xml:space="preserve">TERO Indian Preference Files</t>
  </si>
  <si>
    <t xml:space="preserve">Official tribal government/TERO</t>
  </si>
  <si>
    <t xml:space="preserve">https://yakama.com/employment/tero/</t>
  </si>
  <si>
    <t xml:space="preserve">TBD-054</t>
  </si>
  <si>
    <t xml:space="preserve">Quinault Indian Nation</t>
  </si>
  <si>
    <t xml:space="preserve">Native-Owned Business Certification / TERO Directory</t>
  </si>
  <si>
    <t xml:space="preserve">https://www.quinaultindiannation.com/234/Tribal-Employment-Rights-Ordinance-TERO</t>
  </si>
  <si>
    <t xml:space="preserve">TBD-052</t>
  </si>
  <si>
    <t xml:space="preserve">Mashantucket Pequot Tribal Nation</t>
  </si>
  <si>
    <t xml:space="preserve">CT</t>
  </si>
  <si>
    <t xml:space="preserve">MPTN Member-Owned Business Certification Program</t>
  </si>
  <si>
    <t xml:space="preserve">Official Mashantucket Employment Rights Office</t>
  </si>
  <si>
    <t xml:space="preserve">https://mero.mptn-nsn.gov/contracting-programs/mptn-member-owned-business-certification-program/</t>
  </si>
  <si>
    <t xml:space="preserve">TBD-051</t>
  </si>
  <si>
    <t xml:space="preserve">Bishop Paiute Tribe</t>
  </si>
  <si>
    <t xml:space="preserve">TERO Comprehensive Business List</t>
  </si>
  <si>
    <t xml:space="preserve">PDF newsletter plus site</t>
  </si>
  <si>
    <t xml:space="preserve">Official Bishop TERO publication</t>
  </si>
  <si>
    <t xml:space="preserve">https://bishoptero.com/</t>
  </si>
  <si>
    <t xml:space="preserve">TBD-050</t>
  </si>
  <si>
    <t xml:space="preserve">Hoopa Valley Tribe</t>
  </si>
  <si>
    <t xml:space="preserve">TERO Contractor’s List</t>
  </si>
  <si>
    <t xml:space="preserve">https://www.hoopa-nsn.gov/departments/1490-2/tero-department/</t>
  </si>
  <si>
    <t xml:space="preserve">TBD-049</t>
  </si>
  <si>
    <t xml:space="preserve">Tolowa Dee-ni’ Nation</t>
  </si>
  <si>
    <t xml:space="preserve">TERO Indian-Owned Firm Register / Bidder Eligibility List</t>
  </si>
  <si>
    <t xml:space="preserve">PDF ordinance/forms</t>
  </si>
  <si>
    <t xml:space="preserve">https://www.tolowa.gov/DocumentCenter/View/135/TERO-Code-PDF</t>
  </si>
  <si>
    <t xml:space="preserve">TBD-048</t>
  </si>
  <si>
    <t xml:space="preserve">Grand Portage Band of Lake Superior Chippewa</t>
  </si>
  <si>
    <t xml:space="preserve">Certified GPMOB / NAOB Directory</t>
  </si>
  <si>
    <t xml:space="preserve">Partnership/request; monitor site</t>
  </si>
  <si>
    <t xml:space="preserve">PDF ordinance</t>
  </si>
  <si>
    <t xml:space="preserve">https://www.grandportageband.com/wp-content/uploads/2025/08/GP-TERO-Ordinance-053106-Enacted-copy5.pdf</t>
  </si>
  <si>
    <t xml:space="preserve">TBD-029</t>
  </si>
  <si>
    <t xml:space="preserve">Cowlitz Indian Tribe</t>
  </si>
  <si>
    <t xml:space="preserve">Cowlitz Native-Owned Business Directory</t>
  </si>
  <si>
    <t xml:space="preserve">Monitor launch and request structured export</t>
  </si>
  <si>
    <t xml:space="preserve">Official social announcement plus intake link</t>
  </si>
  <si>
    <t xml:space="preserve">Cowlitz Economic Authority in partnership with Cowlitz Indian Tribe</t>
  </si>
  <si>
    <t xml:space="preserve">https://www.linkedin.com/company/cowlitz-indian-tribe</t>
  </si>
  <si>
    <t xml:space="preserve">TBD-026</t>
  </si>
  <si>
    <t xml:space="preserve">Little Traverse Bay Bands of Odawa Indians</t>
  </si>
  <si>
    <t xml:space="preserve">LTBB Tribal Citizen-Owned Business List</t>
  </si>
  <si>
    <t xml:space="preserve">Partnership/request; monitor official site</t>
  </si>
  <si>
    <t xml:space="preserve">Official tribal function documented by NCAI job listing</t>
  </si>
  <si>
    <t xml:space="preserve">https://www.ncai.org/resources/job-listings/department-of-commerce-director</t>
  </si>
  <si>
    <t xml:space="preserve">TBD-025</t>
  </si>
  <si>
    <t xml:space="preserve">Band Member Resource Directory</t>
  </si>
  <si>
    <t xml:space="preserve">Monitor publications; request export</t>
  </si>
  <si>
    <t xml:space="preserve">Official Band publication / Mille Lacs Corporate Ventures</t>
  </si>
  <si>
    <t xml:space="preserve">https://tambourine-flugelhorn-9mlf.squarespace.com/s/2024-INAAJIMOWIN-08-AUGUST-FINAL-SMALL.pdf</t>
  </si>
  <si>
    <t xml:space="preserve">TBD-024</t>
  </si>
  <si>
    <t xml:space="preserve">Grand Traverse Band of Ottawa and Chippewa Indians</t>
  </si>
  <si>
    <t xml:space="preserve">GTB Member Service Directory</t>
  </si>
  <si>
    <t xml:space="preserve">Member services directory</t>
  </si>
  <si>
    <t xml:space="preserve">Resolve link; request export</t>
  </si>
  <si>
    <t xml:space="preserve">HTML plus linked form/document</t>
  </si>
  <si>
    <t xml:space="preserve">Official tribal government</t>
  </si>
  <si>
    <t xml:space="preserve">https://www.gtbindians.org/rfp.asp</t>
  </si>
  <si>
    <t xml:space="preserve">TBD-023</t>
  </si>
  <si>
    <t xml:space="preserve">Penobscot Nation</t>
  </si>
  <si>
    <t xml:space="preserve">ME</t>
  </si>
  <si>
    <t xml:space="preserve">Business and Service Directory</t>
  </si>
  <si>
    <t xml:space="preserve">Monitor page; request export</t>
  </si>
  <si>
    <t xml:space="preserve">https://www.penobscotnation.org/business-and-service-directory/</t>
  </si>
  <si>
    <t xml:space="preserve">TBD-022</t>
  </si>
  <si>
    <t xml:space="preserve">Snoqualmie Indian Tribe</t>
  </si>
  <si>
    <t xml:space="preserve">Tribal Members Business Directory</t>
  </si>
  <si>
    <t xml:space="preserve">Monitor newsletters; request data feed</t>
  </si>
  <si>
    <t xml:space="preserve">Official tribal government/newsletter</t>
  </si>
  <si>
    <t xml:space="preserve">https://snoqualmietribe.us/wp-content/uploads/Newsletters/MARCH-Tribal-Member-Newsletter_small.pdf</t>
  </si>
  <si>
    <t xml:space="preserve">TBD-021</t>
  </si>
  <si>
    <t xml:space="preserve">Native Village of Eyak</t>
  </si>
  <si>
    <t xml:space="preserve">Tribal Member Business Directory</t>
  </si>
  <si>
    <t xml:space="preserve">Monitor intake page; partnership feed</t>
  </si>
  <si>
    <t xml:space="preserve">https://www.eyak-nsn.gov/477-department/</t>
  </si>
  <si>
    <t xml:space="preserve">TBD-191</t>
  </si>
  <si>
    <t xml:space="preserve">Native Hawaiian Organizations Association</t>
  </si>
  <si>
    <t xml:space="preserve">HI</t>
  </si>
  <si>
    <t xml:space="preserve">NHOA member list (~23 NHOs)</t>
  </si>
  <si>
    <t xml:space="preserve">Trade-association member list (NHO entities)</t>
  </si>
  <si>
    <t xml:space="preserve">Live</t>
  </si>
  <si>
    <t xml:space="preserve">Static HTML crawl</t>
  </si>
  <si>
    <t xml:space="preserve">Web page</t>
  </si>
  <si>
    <t xml:space="preserve">NHOA</t>
  </si>
  <si>
    <t xml:space="preserve">https://www.nhoassociation.org/members.html</t>
  </si>
  <si>
    <t xml:space="preserve">TBD-190</t>
  </si>
  <si>
    <t xml:space="preserve">U.S. DOI Office of Native Hawaiian Relations</t>
  </si>
  <si>
    <t xml:space="preserve">Native Hawaiian 8(a) list (via SBA Dynamic Small Business Search)</t>
  </si>
  <si>
    <t xml:space="preserve">Federal registry pointer (NHO entities)</t>
  </si>
  <si>
    <t xml:space="preserve">Web + database query</t>
  </si>
  <si>
    <t xml:space="preserve">DOI / SBA (federal)</t>
  </si>
  <si>
    <t xml:space="preserve">https://www.doi.gov/hawaiian/native-hawaiian-8a-list</t>
  </si>
  <si>
    <t xml:space="preserve">TBD-189</t>
  </si>
  <si>
    <t xml:space="preserve">Hui 'Oihana (Hawai'i Island NH Chamber)</t>
  </si>
  <si>
    <t xml:space="preserve">Hui 'Oihana Member Directory</t>
  </si>
  <si>
    <t xml:space="preserve">Chamber member directory</t>
  </si>
  <si>
    <t xml:space="preserve">Hui 'Oihana</t>
  </si>
  <si>
    <t xml:space="preserve">https://huioihana.com/Members</t>
  </si>
  <si>
    <t xml:space="preserve">TBD-188</t>
  </si>
  <si>
    <t xml:space="preserve">Native Hawaiian Chamber of Commerce (Honolulu)</t>
  </si>
  <si>
    <t xml:space="preserve">NHCC Member Directory</t>
  </si>
  <si>
    <t xml:space="preserve">Native Hawaiian Chamber of Commerce</t>
  </si>
  <si>
    <t xml:space="preserve">https://business.nativehawaiianchamberofcommerce.org/business-directory/Find</t>
  </si>
  <si>
    <t xml:space="preserve">TBD-187</t>
  </si>
  <si>
    <t xml:space="preserve">Council for Native Hawaiian Advancement (Hawaiian Council)</t>
  </si>
  <si>
    <t xml:space="preserve">Pop-Up Makeke marketplace vendor roster (popupmakeke.com)</t>
  </si>
  <si>
    <t xml:space="preserve">Nonprofit marketplace</t>
  </si>
  <si>
    <t xml:space="preserve">Shopify marketplace</t>
  </si>
  <si>
    <t xml:space="preserve">CNHA / Hawaiian Council (501c3)</t>
  </si>
  <si>
    <t xml:space="preserve">https://popupmakeke.com/pages/about</t>
  </si>
  <si>
    <t xml:space="preserve">TBD-186</t>
  </si>
  <si>
    <t xml:space="preserve">Office of Hawaiian Affairs — Loan Programs</t>
  </si>
  <si>
    <t xml:space="preserve">OHA Native Hawaiian Business Owners showcase (loans.oha.org)</t>
  </si>
  <si>
    <t xml:space="preserve">State-agency borrower directory (Native Hawaiian)</t>
  </si>
  <si>
    <t xml:space="preserve">Web directory + profiles</t>
  </si>
  <si>
    <t xml:space="preserve">Office of Hawaiian Affairs (state agency)</t>
  </si>
  <si>
    <t xml:space="preserve">https://loans.oha.org/native-hawaiian-business-owners/</t>
  </si>
  <si>
    <t xml:space="preserve">TBD-185</t>
  </si>
  <si>
    <t xml:space="preserve">NaHHA + Native Hawaiian Chambers of Commerce (Kuhikuhi)</t>
  </si>
  <si>
    <t xml:space="preserve">Kuhikuhi.com — Native Hawaiian-owned business directory</t>
  </si>
  <si>
    <t xml:space="preserve">Community directory (Native Hawaiian)</t>
  </si>
  <si>
    <t xml:space="preserve">NaHHA + NH Chambers</t>
  </si>
  <si>
    <t xml:space="preserve">https://www.kuhikuhi.com/</t>
  </si>
  <si>
    <t xml:space="preserve">TBD-184</t>
  </si>
  <si>
    <t xml:space="preserve">Kanaka Economic Development Alliance (Native Hawaiian)</t>
  </si>
  <si>
    <t xml:space="preserve">Native Hawaiian Business Directory (NHBD, kanakaeconomy.com)</t>
  </si>
  <si>
    <t xml:space="preserve">Community certification directory (Native Hawaiian)</t>
  </si>
  <si>
    <t xml:space="preserve">Web directory (WordPress listing archives)</t>
  </si>
  <si>
    <t xml:space="preserve">KEDA (community organization)</t>
  </si>
  <si>
    <t xml:space="preserve">https://kanakaeconomy.com/listing/</t>
  </si>
  <si>
    <t xml:space="preserve">TBD-183</t>
  </si>
  <si>
    <t xml:space="preserve">Metlakatla Indian Community</t>
  </si>
  <si>
    <t xml:space="preserve">Metlakatla Community Directory (metlakatla.com/directory/)</t>
  </si>
  <si>
    <t xml:space="preserve">Tribal community directory</t>
  </si>
  <si>
    <t xml:space="preserve">https://www.metlakatla.com/directory/</t>
  </si>
  <si>
    <t xml:space="preserve">TBD-182</t>
  </si>
  <si>
    <t xml:space="preserve">Pueblo of San Ildefonso</t>
  </si>
  <si>
    <t xml:space="preserve">San Ildefonso Pueblo Artists pages (sanipueblo.org/artists/)</t>
  </si>
  <si>
    <t xml:space="preserve">Tribal artist directory</t>
  </si>
  <si>
    <t xml:space="preserve">Web pages (per-artist)</t>
  </si>
  <si>
    <t xml:space="preserve">https://sanipueblo.org/artists/</t>
  </si>
  <si>
    <t xml:space="preserve">TBD-181</t>
  </si>
  <si>
    <t xml:space="preserve">Pyramid Lake Business Directory (pyramidlake.us)</t>
  </si>
  <si>
    <t xml:space="preserve">Tribal business/community directory</t>
  </si>
  <si>
    <t xml:space="preserve">https://pyramidlake.us/business-directory</t>
  </si>
  <si>
    <t xml:space="preserve">TBD-180</t>
  </si>
  <si>
    <t xml:space="preserve">Hoopa Valley Active Business License list</t>
  </si>
  <si>
    <t xml:space="preserve">Tribal business-license roll</t>
  </si>
  <si>
    <t xml:space="preserve">Web page list</t>
  </si>
  <si>
    <t xml:space="preserve">https://www.hoopa-nsn.gov/active-business-license/</t>
  </si>
  <si>
    <t xml:space="preserve">TBD-179</t>
  </si>
  <si>
    <t xml:space="preserve">Tlingit &amp; Haida Certified Tribal Artist Program (CTAP) + Shop Tlingit &amp; Haida artists page</t>
  </si>
  <si>
    <t xml:space="preserve">Tribal artist certification / directory</t>
  </si>
  <si>
    <t xml:space="preserve">Tribal Primary</t>
  </si>
  <si>
    <t xml:space="preserve">Web pages (program + artists listing)</t>
  </si>
  <si>
    <t xml:space="preserve">Tlingit &amp; Haida Business &amp; Economic Development</t>
  </si>
  <si>
    <t xml:space="preserve">https://www.shoptlingithaida.com/artists.html</t>
  </si>
  <si>
    <t xml:space="preserve">TBD-177</t>
  </si>
  <si>
    <t xml:space="preserve">Hoonah Indian Association</t>
  </si>
  <si>
    <t xml:space="preserve">Hoonah Indian Association Business Directory List</t>
  </si>
  <si>
    <t xml:space="preserve">Tribal site business directory</t>
  </si>
  <si>
    <t xml:space="preserve">Static HTML</t>
  </si>
  <si>
    <t xml:space="preserve">https://www.hiatribe.org/community/advanced-components/business-directory-list</t>
  </si>
  <si>
    <t xml:space="preserve">TBD-176</t>
  </si>
  <si>
    <t xml:space="preserve">Kawerak, Inc. (Bering Strait regional consortium)</t>
  </si>
  <si>
    <t xml:space="preserve">Bering Strait Business Directory (beringstrait.biz)</t>
  </si>
  <si>
    <t xml:space="preserve">Regional consortium business directory</t>
  </si>
  <si>
    <t xml:space="preserve">Static HTML crawl of /businesses/ and community pages</t>
  </si>
  <si>
    <t xml:space="preserve">Searchable web directory (businesses, communities, categories)</t>
  </si>
  <si>
    <t xml:space="preserve">Kawerak, Inc.</t>
  </si>
  <si>
    <t xml:space="preserve">https://www.beringstrait.biz/</t>
  </si>
  <si>
    <t xml:space="preserve">TBD-175</t>
  </si>
  <si>
    <t xml:space="preserve">Shoshone-Paiute Tribes of the Duck Valley Reservation</t>
  </si>
  <si>
    <t xml:space="preserve">NV/ID</t>
  </si>
  <si>
    <t xml:space="preserve">Duck Valley Indian Reservation Community Directory</t>
  </si>
  <si>
    <t xml:space="preserve">Tribal community directory including local businesses</t>
  </si>
  <si>
    <t xml:space="preserve">https://shopaitribes.org/spt/directory.html</t>
  </si>
  <si>
    <t xml:space="preserve">TBD-174</t>
  </si>
  <si>
    <t xml:space="preserve">Houlton Band of Maliseet Indians</t>
  </si>
  <si>
    <t xml:space="preserve">Maliseet Directory — Our Businesses</t>
  </si>
  <si>
    <t xml:space="preserve">Tribal directory with businesses section</t>
  </si>
  <si>
    <t xml:space="preserve">https://maliseets.net/directory/</t>
  </si>
  <si>
    <t xml:space="preserve">TBD-172</t>
  </si>
  <si>
    <t xml:space="preserve">Confederated Tribes of the Chehalis Reservation</t>
  </si>
  <si>
    <t xml:space="preserve">Chehalis Approved Vendors (Planning Department business-license list)</t>
  </si>
  <si>
    <t xml:space="preserve">Tribal business-license vendor list</t>
  </si>
  <si>
    <t xml:space="preserve">Searchable HTML list</t>
  </si>
  <si>
    <t xml:space="preserve">Chehalis Tribal Planning Department</t>
  </si>
  <si>
    <t xml:space="preserve">https://www.chehalistribe.org/departments/planning-department/approved-vendors/</t>
  </si>
  <si>
    <t xml:space="preserve">TBD-171</t>
  </si>
  <si>
    <t xml:space="preserve">Pueblo of San Felipe</t>
  </si>
  <si>
    <t xml:space="preserve">Pueblo of San Felipe Tribal Enterprises page</t>
  </si>
  <si>
    <t xml:space="preserve">Tribal enterprise page</t>
  </si>
  <si>
    <t xml:space="preserve">HTML page</t>
  </si>
  <si>
    <t xml:space="preserve">≈3 named enterprises</t>
  </si>
  <si>
    <t xml:space="preserve">https://sfpueblo.com/our-pueblo/tribal-enterprises/</t>
  </si>
  <si>
    <t xml:space="preserve">TBD-170</t>
  </si>
  <si>
    <t xml:space="preserve">Pueblo of Pojoaque</t>
  </si>
  <si>
    <t xml:space="preserve">Pueblo of Pojoaque Business page (corporate enterprises)</t>
  </si>
  <si>
    <t xml:space="preserve">≈4-5 named enterprises</t>
  </si>
  <si>
    <t xml:space="preserve">https://pojoaque.org/business/</t>
  </si>
  <si>
    <t xml:space="preserve">TBD-169</t>
  </si>
  <si>
    <t xml:space="preserve">Pueblo of Jemez</t>
  </si>
  <si>
    <t xml:space="preserve">Pueblo of Jemez Business page (tribal enterprises)</t>
  </si>
  <si>
    <t xml:space="preserve">≈4 named enterprises</t>
  </si>
  <si>
    <t xml:space="preserve">https://www.jemezpueblo.org/business/</t>
  </si>
  <si>
    <t xml:space="preserve">TBD-166</t>
  </si>
  <si>
    <t xml:space="preserve">Confederated Tribes of Siletz Indians</t>
  </si>
  <si>
    <t xml:space="preserve">Siletz Tribal Business Directory</t>
  </si>
  <si>
    <t xml:space="preserve">Tribal member business directory</t>
  </si>
  <si>
    <t xml:space="preserve">Confirm directory endpoint, then crawl</t>
  </si>
  <si>
    <t xml:space="preserve">Searchable web directory</t>
  </si>
  <si>
    <t xml:space="preserve">Siletz Tribal Business Corporation (CTSI)</t>
  </si>
  <si>
    <t xml:space="preserve">https://www.stbcorp.net/</t>
  </si>
  <si>
    <t xml:space="preserve">TBD-108</t>
  </si>
  <si>
    <t xml:space="preserve">Licensed Businesses List</t>
  </si>
  <si>
    <t xml:space="preserve">Mixed licensed-business directory</t>
  </si>
  <si>
    <t xml:space="preserve">Monitor landing page and parse current list</t>
  </si>
  <si>
    <t xml:space="preserve">HTML plus protected/linked file</t>
  </si>
  <si>
    <t xml:space="preserve">Official Swinomish Indian Tribal Community</t>
  </si>
  <si>
    <t xml:space="preserve">https://www.swinomish-nsn.gov/planning-permitting/page/licensing</t>
  </si>
  <si>
    <t xml:space="preserve">TBD-130</t>
  </si>
  <si>
    <t xml:space="preserve">Calista Corporation</t>
  </si>
  <si>
    <t xml:space="preserve">Calivika Shareholder Directory</t>
  </si>
  <si>
    <t xml:space="preserve">Dynamic directory plus form</t>
  </si>
  <si>
    <t xml:space="preserve">https://www.calistacorp.com/calista-shareholder-business-directory/</t>
  </si>
  <si>
    <t xml:space="preserve">TBD-129</t>
  </si>
  <si>
    <t xml:space="preserve">Koniag, Inc.</t>
  </si>
  <si>
    <t xml:space="preserve">Shareholder and Descendant Artist and Business Directory</t>
  </si>
  <si>
    <t xml:space="preserve">Dynamic JS directory with category pages</t>
  </si>
  <si>
    <t xml:space="preserve">https://koniagbizdirectory.com/</t>
  </si>
  <si>
    <t xml:space="preserve">TBD-125</t>
  </si>
  <si>
    <t xml:space="preserve">Bristol Bay Native Corporation</t>
  </si>
  <si>
    <t xml:space="preserve">BBNC Shareholder-Owned Business Directory</t>
  </si>
  <si>
    <t xml:space="preserve">220+</t>
  </si>
  <si>
    <t xml:space="preserve">https://bbncshareholderbiz.com/</t>
  </si>
  <si>
    <t xml:space="preserve">TBD-131</t>
  </si>
  <si>
    <t xml:space="preserve">Bering Straits Native Corporation</t>
  </si>
  <si>
    <t xml:space="preserve">Shareholder-Owned Businesses Registry</t>
  </si>
  <si>
    <t xml:space="preserve">Category-aware DOM scrape</t>
  </si>
  <si>
    <t xml:space="preserve">WordPress directory plus PDF form</t>
  </si>
  <si>
    <t xml:space="preserve">https://beringstraits.com/business-registry/</t>
  </si>
  <si>
    <t xml:space="preserve">TBD-128</t>
  </si>
  <si>
    <t xml:space="preserve">Afognak Native Corporation</t>
  </si>
  <si>
    <t xml:space="preserve">Shareholder-Owned Business and Service Directory</t>
  </si>
  <si>
    <t xml:space="preserve">HTML directory plus PDF form</t>
  </si>
  <si>
    <t xml:space="preserve">https://afognak.com/shareholder-businesses/</t>
  </si>
  <si>
    <t xml:space="preserve">TBD-127</t>
  </si>
  <si>
    <t xml:space="preserve">Chugach Alaska Corporation</t>
  </si>
  <si>
    <t xml:space="preserve">Shareholder Business Directory</t>
  </si>
  <si>
    <t xml:space="preserve">HTML cards</t>
  </si>
  <si>
    <t xml:space="preserve">https://www.chugach.com/shareholders/shareholder-business-directory</t>
  </si>
  <si>
    <t xml:space="preserve">TBD-142</t>
  </si>
  <si>
    <t xml:space="preserve">South Puget Intertribal Planning Agency</t>
  </si>
  <si>
    <t xml:space="preserve">BENEP Native Business Directory</t>
  </si>
  <si>
    <t xml:space="preserve">Intertribal Native-business directory</t>
  </si>
  <si>
    <t xml:space="preserve">DOM scrape or endpoint discovery</t>
  </si>
  <si>
    <t xml:space="preserve">Dynamic HTML directory</t>
  </si>
  <si>
    <t xml:space="preserve">Intertribal planning agency</t>
  </si>
  <si>
    <t xml:space="preserve">https://spipa.org/native-business-directory/</t>
  </si>
  <si>
    <t xml:space="preserve">TBD-141</t>
  </si>
  <si>
    <t xml:space="preserve">Menominee Indian Tribe of Wisconsin</t>
  </si>
  <si>
    <t xml:space="preserve">Menominee Contractors Listing</t>
  </si>
  <si>
    <t xml:space="preserve">Tribal contractor directory</t>
  </si>
  <si>
    <t xml:space="preserve">Static pagination crawl</t>
  </si>
  <si>
    <t xml:space="preserve">Paginated HTML table</t>
  </si>
  <si>
    <t xml:space="preserve">Official Menominee Indian Tribe of Wisconsin</t>
  </si>
  <si>
    <t xml:space="preserve">https://www.menominee-nsn.gov/BusinessPages/ContractorsListing</t>
  </si>
  <si>
    <t xml:space="preserve">TBD-140</t>
  </si>
  <si>
    <t xml:space="preserve">Cheyenne River Sioux Tribe / Four Bands Community Fund</t>
  </si>
  <si>
    <t xml:space="preserve">Four Bands Shop Local Business Directory</t>
  </si>
  <si>
    <t xml:space="preserve">Tribe-linked CDFI directory</t>
  </si>
  <si>
    <t xml:space="preserve">WordPress directory</t>
  </si>
  <si>
    <t xml:space="preserve">Four Bands Community Fund, linked by Cheyenne River Sioux Tribe</t>
  </si>
  <si>
    <t xml:space="preserve">https://fourbands.org/visit-cheyenne-river/shop-local/</t>
  </si>
  <si>
    <t xml:space="preserve">TBD-013</t>
  </si>
  <si>
    <t xml:space="preserve">WAMP Owned / Chappaquiddick Wampanoag</t>
  </si>
  <si>
    <t xml:space="preserve">WAMP Owned</t>
  </si>
  <si>
    <t xml:space="preserve">Tribal/community website</t>
  </si>
  <si>
    <t xml:space="preserve">https://www.chappaquiddickwampanoagtribe.org/wamp-owned</t>
  </si>
  <si>
    <t xml:space="preserve">TBD-012</t>
  </si>
  <si>
    <t xml:space="preserve">Bad River Band of Lake Superior Chippewa</t>
  </si>
  <si>
    <t xml:space="preserve">Mixed local/member directory</t>
  </si>
  <si>
    <t xml:space="preserve">HTML table scrape</t>
  </si>
  <si>
    <t xml:space="preserve">HTML table</t>
  </si>
  <si>
    <t xml:space="preserve">https://www.badriver-nsn.gov/business-directory/</t>
  </si>
  <si>
    <t xml:space="preserve">TBD-011</t>
  </si>
  <si>
    <t xml:space="preserve">Red Cliff Band of Lake Superior Chippewa</t>
  </si>
  <si>
    <t xml:space="preserve">https://www.redcliff-nsn.gov/community/tourism/business_directory.php</t>
  </si>
  <si>
    <t xml:space="preserve">TBD-007</t>
  </si>
  <si>
    <t xml:space="preserve">Section-aware DOM scrape</t>
  </si>
  <si>
    <t xml:space="preserve">TBD-082</t>
  </si>
  <si>
    <t xml:space="preserve">Otoe-Missouria Tribe</t>
  </si>
  <si>
    <t xml:space="preserve">List of Approved Vendors</t>
  </si>
  <si>
    <t xml:space="preserve">Discover page endpoint or browser-assisted scrape</t>
  </si>
  <si>
    <t xml:space="preserve">Dynamic HTML</t>
  </si>
  <si>
    <t xml:space="preserve">Official Otoe-Missouria Tribe TERO</t>
  </si>
  <si>
    <t xml:space="preserve">https://www.omtribe.org/what-we-do/tero/list-of-approved-vendors/</t>
  </si>
  <si>
    <t xml:space="preserve">TBD-081</t>
  </si>
  <si>
    <t xml:space="preserve">Pawnee Nation of Oklahoma</t>
  </si>
  <si>
    <t xml:space="preserve">Certified Indian Preference Business Registry</t>
  </si>
  <si>
    <t xml:space="preserve">Discover backing endpoint or browser-assisted scrape</t>
  </si>
  <si>
    <t xml:space="preserve">Dynamic web registry</t>
  </si>
  <si>
    <t xml:space="preserve">Weekly</t>
  </si>
  <si>
    <t xml:space="preserve">Official Pawnee Nation TERO</t>
  </si>
  <si>
    <t xml:space="preserve">https://directory.pawneenationtero.com/</t>
  </si>
  <si>
    <t xml:space="preserve">TBD-078</t>
  </si>
  <si>
    <t xml:space="preserve">Choctaw Nation of Oklahoma</t>
  </si>
  <si>
    <t xml:space="preserve">Choctaw Small Business Directory</t>
  </si>
  <si>
    <t xml:space="preserve">Discover embedded endpoint or use browser-assisted scrape</t>
  </si>
  <si>
    <t xml:space="preserve">Dynamic embedded directory</t>
  </si>
  <si>
    <t xml:space="preserve">Official Choctaw Nation small-business program</t>
  </si>
  <si>
    <t xml:space="preserve">https://choctawsmallbusiness.com/business-directory/</t>
  </si>
  <si>
    <t xml:space="preserve">TBD-074</t>
  </si>
  <si>
    <t xml:space="preserve">Tohono O’odham Nation</t>
  </si>
  <si>
    <t xml:space="preserve">TERO Certified Firms Listing</t>
  </si>
  <si>
    <t xml:space="preserve">Image extraction or direct source feed</t>
  </si>
  <si>
    <t xml:space="preserve">Image-based web pages</t>
  </si>
  <si>
    <t xml:space="preserve">Official Tohono O’odham Nation TERO</t>
  </si>
  <si>
    <t xml:space="preserve">https://www.tonation-nsn.gov/departments/public-safety/tero/tero-information/july-2026-updated-certified-firms-listing-v2_page_1/</t>
  </si>
  <si>
    <t xml:space="preserve">TBD-043</t>
  </si>
  <si>
    <t xml:space="preserve">Eastern Band of Cherokee Indians</t>
  </si>
  <si>
    <t xml:space="preserve">Certified Vendor List</t>
  </si>
  <si>
    <t xml:space="preserve">Browser-assisted retrieval</t>
  </si>
  <si>
    <t xml:space="preserve">Protected HTML/PDF</t>
  </si>
  <si>
    <t xml:space="preserve">Bimonthly</t>
  </si>
  <si>
    <t xml:space="preserve">Official EBCI TERO</t>
  </si>
  <si>
    <t xml:space="preserve">https://ebci-tero.com/vendor-list/</t>
  </si>
  <si>
    <t xml:space="preserve">TBD-040</t>
  </si>
  <si>
    <t xml:space="preserve">Oneida Nation</t>
  </si>
  <si>
    <t xml:space="preserve">Indian Preference Vendor List</t>
  </si>
  <si>
    <t xml:space="preserve">API discovery or browser-assisted scrape</t>
  </si>
  <si>
    <t xml:space="preserve">https://oneida-nsn.gov/business/indian-preference/indian-preference-vendor-list/</t>
  </si>
  <si>
    <t xml:space="preserve">TBD-016</t>
  </si>
  <si>
    <t xml:space="preserve">Sault Ste. Marie Tribe of Chippewa Indians</t>
  </si>
  <si>
    <t xml:space="preserve">Sault Tribe Citizen-Owned Business Directory</t>
  </si>
  <si>
    <t xml:space="preserve">Dynamic page scrape/API discovery</t>
  </si>
  <si>
    <t xml:space="preserve">Tribal economic-development initiative</t>
  </si>
  <si>
    <t xml:space="preserve">https://saulttribethrive.com/business-directory/</t>
  </si>
  <si>
    <t xml:space="preserve">TBD-076</t>
  </si>
  <si>
    <t xml:space="preserve">Ute Indian Tribe of the Uintah and Ouray Reservation</t>
  </si>
  <si>
    <t xml:space="preserve">UT</t>
  </si>
  <si>
    <t xml:space="preserve">UTERO Indian Preference Firms</t>
  </si>
  <si>
    <t xml:space="preserve">Download and parse PDF tables</t>
  </si>
  <si>
    <t xml:space="preserve">PDF table</t>
  </si>
  <si>
    <t xml:space="preserve">Official Ute Indian Tribe UTERO</t>
  </si>
  <si>
    <t xml:space="preserve">https://utetribe.com/wp-content/uploads/2026/04/April20-2026UTERO-IndianPreferenceFirms.pdf</t>
  </si>
  <si>
    <t xml:space="preserve">TBD-075</t>
  </si>
  <si>
    <t xml:space="preserve">Yurok Tribe</t>
  </si>
  <si>
    <t xml:space="preserve">TERO List of Contractors and Businesses</t>
  </si>
  <si>
    <t xml:space="preserve">Resolve list link and parse current file</t>
  </si>
  <si>
    <t xml:space="preserve">HTML plus linked document</t>
  </si>
  <si>
    <t xml:space="preserve">Official Yurok Tribe TERO</t>
  </si>
  <si>
    <t xml:space="preserve">https://www.yuroktribe.org/tero</t>
  </si>
  <si>
    <t xml:space="preserve">TBD-073</t>
  </si>
  <si>
    <t xml:space="preserve">Rosebud Sioux Tribe</t>
  </si>
  <si>
    <t xml:space="preserve">TECRO Certified Firms Listing</t>
  </si>
  <si>
    <t xml:space="preserve">Monitor landing page and parse current PDF</t>
  </si>
  <si>
    <t xml:space="preserve">Official Rosebud Sioux Tribe TECRO</t>
  </si>
  <si>
    <t xml:space="preserve">https://www.rst-tecro.org/</t>
  </si>
  <si>
    <t xml:space="preserve">TBD-057</t>
  </si>
  <si>
    <t xml:space="preserve">Southern Ute Indian Tribe</t>
  </si>
  <si>
    <t xml:space="preserve">2026 Indian Owned Business Listing</t>
  </si>
  <si>
    <t xml:space="preserve">Resolve 2026 file; parse table</t>
  </si>
  <si>
    <t xml:space="preserve">https://www.southernute-nsn.gov/justice-and-regulatory/tero/</t>
  </si>
  <si>
    <t xml:space="preserve">TBD-053</t>
  </si>
  <si>
    <t xml:space="preserve">Spokane Tribe of Indians</t>
  </si>
  <si>
    <t xml:space="preserve">Certified Indian Contractor / Local Company Lists</t>
  </si>
  <si>
    <t xml:space="preserve">Resolve document links; parse files</t>
  </si>
  <si>
    <t xml:space="preserve">HTML plus linked documents</t>
  </si>
  <si>
    <t xml:space="preserve">https://www.spokanetribe.com/government/tero/</t>
  </si>
  <si>
    <t xml:space="preserve">TBD-047</t>
  </si>
  <si>
    <t xml:space="preserve">Confederated Tribes of the Colville Reservation</t>
  </si>
  <si>
    <t xml:space="preserve">Title 10 Certified Contractor List</t>
  </si>
  <si>
    <t xml:space="preserve">Resolve list link; parse structured file</t>
  </si>
  <si>
    <t xml:space="preserve">HTML plus linked list/PDF</t>
  </si>
  <si>
    <t xml:space="preserve">https://www.colvilletribes.com/tero</t>
  </si>
  <si>
    <t xml:space="preserve">TBD-046</t>
  </si>
  <si>
    <t xml:space="preserve">Nez Perce Tribe</t>
  </si>
  <si>
    <t xml:space="preserve">ID</t>
  </si>
  <si>
    <t xml:space="preserve">TERO Certified Indian Business List</t>
  </si>
  <si>
    <t xml:space="preserve">Landing-page monitor plus PDF parse</t>
  </si>
  <si>
    <t xml:space="preserve">https://nezperce.org/resources/</t>
  </si>
  <si>
    <t xml:space="preserve">TBD-042</t>
  </si>
  <si>
    <t xml:space="preserve">Cherokee Nation</t>
  </si>
  <si>
    <t xml:space="preserve">TERO Certified Indian-Owned Business Directory</t>
  </si>
  <si>
    <t xml:space="preserve">Portal crawl/API discovery</t>
  </si>
  <si>
    <t xml:space="preserve">Searchable web portal</t>
  </si>
  <si>
    <t xml:space="preserve">700+</t>
  </si>
  <si>
    <t xml:space="preserve">Official Cherokee Nation TERO</t>
  </si>
  <si>
    <t xml:space="preserve">https://cherokeetero.com/directory</t>
  </si>
  <si>
    <t xml:space="preserve">TBD-041</t>
  </si>
  <si>
    <t xml:space="preserve">Navajo Nation</t>
  </si>
  <si>
    <t xml:space="preserve">AZ/NM/UT</t>
  </si>
  <si>
    <t xml:space="preserve">Navajo Business Opportunity Act Source List</t>
  </si>
  <si>
    <t xml:space="preserve">Official Navajo Nation economic-development office</t>
  </si>
  <si>
    <t xml:space="preserve">https://navajoeconomy.org/business-regulatory/nboa-source-listing/</t>
  </si>
  <si>
    <t xml:space="preserve">TBD-038</t>
  </si>
  <si>
    <t xml:space="preserve">Confederated Salish and Kootenai Tribes</t>
  </si>
  <si>
    <t xml:space="preserve">Indian Preference Certified Business Directory</t>
  </si>
  <si>
    <t xml:space="preserve">PDF linked from HTML</t>
  </si>
  <si>
    <t xml:space="preserve">Official tribal government/Indian Preference Office</t>
  </si>
  <si>
    <t xml:space="preserve">https://cskt.org/indian-preference-office/</t>
  </si>
  <si>
    <t xml:space="preserve">TBD-037</t>
  </si>
  <si>
    <t xml:space="preserve">Poarch Band of Creek Indians</t>
  </si>
  <si>
    <t xml:space="preserve">AL</t>
  </si>
  <si>
    <t xml:space="preserve">Certified Business List</t>
  </si>
  <si>
    <t xml:space="preserve">Official tribal government/regulatory affairs</t>
  </si>
  <si>
    <t xml:space="preserve">https://pci-nsn.gov/our-government/regulatory-affairs/</t>
  </si>
  <si>
    <t xml:space="preserve">TBD-036</t>
  </si>
  <si>
    <t xml:space="preserve">Blackfeet Nation</t>
  </si>
  <si>
    <t xml:space="preserve">TERO Catalog / Certified Indian Preference Firms</t>
  </si>
  <si>
    <t xml:space="preserve">Official Blackfeet TERO</t>
  </si>
  <si>
    <t xml:space="preserve">https://btero.com/</t>
  </si>
  <si>
    <t xml:space="preserve">TBD-035</t>
  </si>
  <si>
    <t xml:space="preserve">Puyallup Tribe of Indians</t>
  </si>
  <si>
    <t xml:space="preserve">Indian Preference Contractor Directory</t>
  </si>
  <si>
    <t xml:space="preserve">https://www.puyalluptribe-nsn.gov/employment-training-programs-services/tero/</t>
  </si>
  <si>
    <t xml:space="preserve">TBD-034</t>
  </si>
  <si>
    <t xml:space="preserve">Confederated Tribes of Warm Springs</t>
  </si>
  <si>
    <t xml:space="preserve">Download and table-parse PDF</t>
  </si>
  <si>
    <t xml:space="preserve">Tribal list mirrored by Oregon DOT</t>
  </si>
  <si>
    <t xml:space="preserve">https://www.oregon.gov/odot/business/procurement/pages/forms_tips_and_resources.aspx</t>
  </si>
  <si>
    <t xml:space="preserve">TBD-033</t>
  </si>
  <si>
    <t xml:space="preserve">Confederated Tribes of the Umatilla Indian Reservation</t>
  </si>
  <si>
    <t xml:space="preserve">Certified Indian-Owned Business Directory</t>
  </si>
  <si>
    <t xml:space="preserve">Download DOCX and parse tables</t>
  </si>
  <si>
    <t xml:space="preserve">DOCX linked from HTML</t>
  </si>
  <si>
    <t xml:space="preserve">https://ctuir.org/departments/workforce-development/tero/certified-indian-owned-business-directory/</t>
  </si>
  <si>
    <t xml:space="preserve">TBD-019</t>
  </si>
  <si>
    <t xml:space="preserve">Oneida Arts Program Artist Directory</t>
  </si>
  <si>
    <t xml:space="preserve">Landing-page crawl</t>
  </si>
  <si>
    <t xml:space="preserve">HTML / linked document</t>
  </si>
  <si>
    <t xml:space="preserve">https://oneida-nsn.gov/divisions/human-services/our-culture/arts-program-2/</t>
  </si>
  <si>
    <t xml:space="preserve">TBD-015</t>
  </si>
  <si>
    <t xml:space="preserve">Salt River Pima-Maricopa Indian Community</t>
  </si>
  <si>
    <t xml:space="preserve">Community Member Owned Business Directory / Salt River Business Listings</t>
  </si>
  <si>
    <t xml:space="preserve">Landing-page monitor plus document parse</t>
  </si>
  <si>
    <t xml:space="preserve">HTML plus newsletter/PDF</t>
  </si>
  <si>
    <t xml:space="preserve">https://srpmic-nsn.gov/government/cdd/edd/</t>
  </si>
  <si>
    <t xml:space="preserve">TBD-009</t>
  </si>
  <si>
    <t xml:space="preserve">Muckleshoot Indian Tribe</t>
  </si>
  <si>
    <t xml:space="preserve">Muckleshoot Artist Directory</t>
  </si>
  <si>
    <t xml:space="preserve">DOM scrape with manual review</t>
  </si>
  <si>
    <t xml:space="preserve">HTML / dynamic</t>
  </si>
  <si>
    <t xml:space="preserve">https://www.muckleshoot.nsn.us/artist-directory</t>
  </si>
  <si>
    <t xml:space="preserve">TBD-120</t>
  </si>
  <si>
    <t xml:space="preserve">Standing Rock Sioux Tribe</t>
  </si>
  <si>
    <t xml:space="preserve">ND/SD</t>
  </si>
  <si>
    <t xml:space="preserve">TERO Indian Preference Certification Hearing Notices</t>
  </si>
  <si>
    <t xml:space="preserve">Certification notice series</t>
  </si>
  <si>
    <t xml:space="preserve">Archive crawl and event extraction</t>
  </si>
  <si>
    <t xml:space="preserve">HTML archive posts plus linked images</t>
  </si>
  <si>
    <t xml:space="preserve">Official Standing Rock Sioux Tribe</t>
  </si>
  <si>
    <t xml:space="preserve">https://www.standingrock.org/2024/11/15/11-20-tero-public-hearing-announcement/</t>
  </si>
  <si>
    <t xml:space="preserve">TBD-039</t>
  </si>
  <si>
    <t xml:space="preserve">Mandan, Hidatsa and Arikara Nation</t>
  </si>
  <si>
    <t xml:space="preserve">Certified Indian Contractor Lists</t>
  </si>
  <si>
    <t xml:space="preserve">Prefer XLSX; parse PDFs as fallback</t>
  </si>
  <si>
    <t xml:space="preserve">HTML plus PDF/XLSX</t>
  </si>
  <si>
    <t xml:space="preserve">Official MHA TERO</t>
  </si>
  <si>
    <t xml:space="preserve">https://mhatero.com/contractor-lists/</t>
  </si>
  <si>
    <t xml:space="preserve">TBD-032</t>
  </si>
  <si>
    <t xml:space="preserve">Confederated Tribes of Grand Ronde</t>
  </si>
  <si>
    <t xml:space="preserve">HTML scrape or PDF table parse</t>
  </si>
  <si>
    <t xml:space="preserve">≈82</t>
  </si>
  <si>
    <t xml:space="preserve">https://www.grandronde.org/government/tero/</t>
  </si>
  <si>
    <t xml:space="preserve">TBD-018</t>
  </si>
  <si>
    <t xml:space="preserve">Chickasaw Nation</t>
  </si>
  <si>
    <t xml:space="preserve">Chickasaw Business Directory</t>
  </si>
  <si>
    <t xml:space="preserve">Search/category crawl</t>
  </si>
  <si>
    <t xml:space="preserve">Searchable HTML</t>
  </si>
  <si>
    <t xml:space="preserve">https://www.chickasawbusinessnetwork.com/Chickasaw-Business-Directory.aspx</t>
  </si>
  <si>
    <t xml:space="preserve">TBD-014</t>
  </si>
  <si>
    <t xml:space="preserve">Itam’yanáawit Business Directory</t>
  </si>
  <si>
    <t xml:space="preserve">Pagination and DOM scrape</t>
  </si>
  <si>
    <t xml:space="preserve">WordPress HTML</t>
  </si>
  <si>
    <t xml:space="preserve">Official tribal initiative</t>
  </si>
  <si>
    <t xml:space="preserve">https://buynezperce.org/business-directory/</t>
  </si>
  <si>
    <t xml:space="preserve">TBD-010</t>
  </si>
  <si>
    <t xml:space="preserve">Forest County Potawatomi Community</t>
  </si>
  <si>
    <t xml:space="preserve">FCP Tribal Member Owned Businesses</t>
  </si>
  <si>
    <t xml:space="preserve">WordPress archive scrape</t>
  </si>
  <si>
    <t xml:space="preserve">Official/tribal commerce site</t>
  </si>
  <si>
    <t xml:space="preserve">https://shop.fcpotawatomi.com/businesses/</t>
  </si>
  <si>
    <t xml:space="preserve">TBD-008</t>
  </si>
  <si>
    <t xml:space="preserve">Pamunkey Indian Tribe</t>
  </si>
  <si>
    <t xml:space="preserve">VA</t>
  </si>
  <si>
    <t xml:space="preserve">Pamunkey Artist Directory</t>
  </si>
  <si>
    <t xml:space="preserve">https://pamunkey.org/artists</t>
  </si>
  <si>
    <t xml:space="preserve">TBD-005</t>
  </si>
  <si>
    <t xml:space="preserve">Kenaitze Indian Tribe</t>
  </si>
  <si>
    <t xml:space="preserve">Kenaitze Tribal Member-Owned Businesses</t>
  </si>
  <si>
    <t xml:space="preserve">https://www.kenaitze.org/tribal-member-services/kenaitze-tribal-member-owned-businesses/</t>
  </si>
  <si>
    <t xml:space="preserve">TBD-004</t>
  </si>
  <si>
    <t xml:space="preserve">Wampanoag Tribe of Gay Head (Aquinnah)</t>
  </si>
  <si>
    <t xml:space="preserve">Business Listing</t>
  </si>
  <si>
    <t xml:space="preserve">https://wampanoagtribe-nsn.gov/business-listing</t>
  </si>
  <si>
    <t xml:space="preserve">TBD-003</t>
  </si>
  <si>
    <t xml:space="preserve">Patawomeck Indian Tribe of Virginia</t>
  </si>
  <si>
    <t xml:space="preserve">Tribal Member Owned Business Directory</t>
  </si>
  <si>
    <t xml:space="preserve">Official tribal website</t>
  </si>
  <si>
    <t xml:space="preserve">https://patawomeckindiantribeofvirginia.net/directory</t>
  </si>
  <si>
    <t xml:space="preserve">TBD-002</t>
  </si>
  <si>
    <t xml:space="preserve">Mechoopda Indian Tribe of Chico Rancheria</t>
  </si>
  <si>
    <t xml:space="preserve">Businesses Owned by Mechoopda Tribal Members</t>
  </si>
  <si>
    <t xml:space="preserve">https://www.mechoopda-nsn.gov/businesses-owned-by-mechoopda-tribal-members</t>
  </si>
  <si>
    <t xml:space="preserve">TBD-001</t>
  </si>
  <si>
    <t xml:space="preserve">Fallon Paiute-Shoshone Tribe</t>
  </si>
  <si>
    <t xml:space="preserve">Fallon Tribal Development Corporation</t>
  </si>
  <si>
    <t xml:space="preserve">https://www.ftdc.us/business-ops/tribal-member-business-directory/</t>
  </si>
  <si>
    <t xml:space="preserve">TBD-079</t>
  </si>
  <si>
    <t xml:space="preserve">Muscogee (Creek) Nation</t>
  </si>
  <si>
    <t xml:space="preserve">CESO Certified Vendor List</t>
  </si>
  <si>
    <t xml:space="preserve">Prefer direct XLSX download; PDF fallback</t>
  </si>
  <si>
    <t xml:space="preserve">XLSX and PDF linked from HTML</t>
  </si>
  <si>
    <t xml:space="preserve">Official Muscogee (Creek) Nation CESO</t>
  </si>
  <si>
    <t xml:space="preserve">https://www.muscogeenation.com/department-of-commerce/contracting-and-employment-support-office/</t>
  </si>
  <si>
    <t xml:space="preserve">TBD-030</t>
  </si>
  <si>
    <t xml:space="preserve">Tulalip Tribes</t>
  </si>
  <si>
    <t xml:space="preserve">Native American Owned Business Registry</t>
  </si>
  <si>
    <t xml:space="preserve">Direct export or structured HTML</t>
  </si>
  <si>
    <t xml:space="preserve">Searchable HTML plus CSV/TXT</t>
  </si>
  <si>
    <t xml:space="preserve">≈45</t>
  </si>
  <si>
    <t xml:space="preserve">Official Tulalip TERO</t>
  </si>
  <si>
    <t xml:space="preserve">https://www.tulaliptero.com/TEROReports/NAOBRegistryAllAll</t>
  </si>
  <si>
    <t xml:space="preserve">TBD-113</t>
  </si>
  <si>
    <t xml:space="preserve">White Earth Nation</t>
  </si>
  <si>
    <t xml:space="preserve">TERO Certified Indian-Owned Business Registry</t>
  </si>
  <si>
    <t xml:space="preserve">Obtained</t>
  </si>
  <si>
    <t xml:space="preserve">DOCX register + DOCX ordinance (owner-supplied)</t>
  </si>
  <si>
    <t xml:space="preserve">N/A - not scraped; supplied</t>
  </si>
  <si>
    <t xml:space="preserve">Semiannual re-ask (certifications expire on rolling dates)</t>
  </si>
  <si>
    <t xml:space="preserve">Official White Earth Nation TERO</t>
  </si>
  <si>
    <t xml:space="preserve">https://www.whiteearth.com/divisions/human-services/workforce-center</t>
  </si>
  <si>
    <t xml:space="preserve">TBD-173</t>
  </si>
  <si>
    <t xml:space="preserve">Fort Belknap Indian Community</t>
  </si>
  <si>
    <t xml:space="preserve">Fort Belknap Program and Enterprise Directory</t>
  </si>
  <si>
    <t xml:space="preserve">Tribal program and enterprise directory (recurring PDF)</t>
  </si>
  <si>
    <t xml:space="preserve">Stale</t>
  </si>
  <si>
    <t xml:space="preserve">PDF parse; watch ftbelknap.org for newer editions</t>
  </si>
  <si>
    <t xml:space="preserve">PDF directory (2023 edition)</t>
  </si>
  <si>
    <t xml:space="preserve">https://img1.wsimg.com/blobby/go/d94bfdb9-dd85-49bd-94c2-4822ef04bf3b/downloads/2023%20FBIC%20Directory.pdf?ver=1706816277538</t>
  </si>
  <si>
    <t xml:space="preserve">TBD-168</t>
  </si>
  <si>
    <t xml:space="preserve">Pokagon Band of Potawatomi Indians</t>
  </si>
  <si>
    <t xml:space="preserve">Tribal Owned Business &amp; Vendor Directory</t>
  </si>
  <si>
    <t xml:space="preserve">Tribal citizen business and vendor directory</t>
  </si>
  <si>
    <t xml:space="preserve">PDF table parse; check for newer editions</t>
  </si>
  <si>
    <t xml:space="preserve">PDF directory (2022 edition)</t>
  </si>
  <si>
    <t xml:space="preserve">Pokagon Band of Potawatomi Indians / Mno-Bmadsen</t>
  </si>
  <si>
    <t xml:space="preserve">https://www.pokagonband-nsn.gov/wp-content/uploads/2023/05/Tribal-Directory-2022-1.pdf</t>
  </si>
  <si>
    <t xml:space="preserve">TBD-083</t>
  </si>
  <si>
    <t xml:space="preserve">Menominee Indian Tribe community / Menominee Chamber of Commerce</t>
  </si>
  <si>
    <t xml:space="preserve">Cross-tribal or chamber directory</t>
  </si>
  <si>
    <t xml:space="preserve">Static HTML/PDF scrape</t>
  </si>
  <si>
    <t xml:space="preserve">HTML plus linked PDF</t>
  </si>
  <si>
    <t xml:space="preserve">Menominee Chamber of Commerce</t>
  </si>
  <si>
    <t xml:space="preserve">https://menomineechamberofcommerce.org/directory/</t>
  </si>
  <si>
    <t xml:space="preserve">TBD-139</t>
  </si>
  <si>
    <t xml:space="preserve">Osage Nation community / Osage News</t>
  </si>
  <si>
    <t xml:space="preserve">Osage News Holiday Gift Guide</t>
  </si>
  <si>
    <t xml:space="preserve">Member-owned annual directory</t>
  </si>
  <si>
    <t xml:space="preserve">Archive crawl by annual edition</t>
  </si>
  <si>
    <t xml:space="preserve">HTML article series</t>
  </si>
  <si>
    <t xml:space="preserve">Osage News, the Nation's official news organization</t>
  </si>
  <si>
    <t xml:space="preserve">https://osagenews.org/osage-news-holiday-gift-guide-2025/</t>
  </si>
  <si>
    <t xml:space="preserve">TBD-080</t>
  </si>
  <si>
    <t xml:space="preserve">Mississippi Band of Choctaw Indians</t>
  </si>
  <si>
    <t xml:space="preserve">MS</t>
  </si>
  <si>
    <t xml:space="preserve">Tribal Member Small Businesses Directory</t>
  </si>
  <si>
    <t xml:space="preserve">Download and parse PDF table</t>
  </si>
  <si>
    <t xml:space="preserve">Official Mississippi Choctaw economic-development program</t>
  </si>
  <si>
    <t xml:space="preserve">https://mschoctawbusiness.com/wp-content/uploads/2025/01/tribal-member-small-businesses-directory.pdf</t>
  </si>
  <si>
    <t xml:space="preserve">TBD-077</t>
  </si>
  <si>
    <t xml:space="preserve">Sisseton Wahpeton Oyate</t>
  </si>
  <si>
    <t xml:space="preserve">Approved Indian Preference Businesses</t>
  </si>
  <si>
    <t xml:space="preserve">About 45</t>
  </si>
  <si>
    <t xml:space="preserve">Official Sisseton Wahpeton Oyate TERO</t>
  </si>
  <si>
    <t xml:space="preserve">https://swo-nsn.gov/media/amhdcytc/tero-indian-preference-list-1-2025-1.pdf</t>
  </si>
  <si>
    <t xml:space="preserve">TBD-045</t>
  </si>
  <si>
    <t xml:space="preserve">Shoshone-Bannock Tribes</t>
  </si>
  <si>
    <t xml:space="preserve">TERO Certified Indian Preference Business Directory</t>
  </si>
  <si>
    <t xml:space="preserve">Resolve latest link; PDF parse</t>
  </si>
  <si>
    <t xml:space="preserve">https://www.sbtribes.com/tero/</t>
  </si>
  <si>
    <t xml:space="preserve">TBD-044</t>
  </si>
  <si>
    <t xml:space="preserve">Coeur d’Alene Tribe</t>
  </si>
  <si>
    <t xml:space="preserve">TERO Certified Business Directory</t>
  </si>
  <si>
    <t xml:space="preserve">https://www.cdatribe-nsn.gov/tero/</t>
  </si>
  <si>
    <t xml:space="preserve">TBD-031</t>
  </si>
  <si>
    <t xml:space="preserve">Lummi Nation</t>
  </si>
  <si>
    <t xml:space="preserve">Landing-page monitor plus file parse</t>
  </si>
  <si>
    <t xml:space="preserve">https://www.lummi-nsn.gov/node/Website.php?PageID=985</t>
  </si>
  <si>
    <t xml:space="preserve">TBD-006</t>
  </si>
  <si>
    <t xml:space="preserve">Leech Lake Band of Ojibwe</t>
  </si>
  <si>
    <t xml:space="preserve">Leech Lake Band Member Owned Businesses</t>
  </si>
  <si>
    <t xml:space="preserve">Static HTML list</t>
  </si>
  <si>
    <t xml:space="preserve">https://www.llojibwe.org/program_info/spotlight.html</t>
  </si>
  <si>
    <t xml:space="preserve">Tribal Business List Programs — processing summary</t>
  </si>
  <si>
    <t xml:space="preserve">Derived from cedar_source_registry/sources.jsonl, wave 5, generated 2026-08-28. One row per source program in the Programs sheet; counts below are formulas over that sheet.</t>
  </si>
  <si>
    <t xml:space="preserve">Total programs tracked</t>
  </si>
  <si>
    <t xml:space="preserve">By processing status</t>
  </si>
  <si>
    <t xml:space="preserve">By priority class</t>
  </si>
  <si>
    <t xml:space="preserve">By list type (top groups)</t>
  </si>
  <si>
    <t xml:space="preserve">Known list sizes (where a program reports one)</t>
  </si>
  <si>
    <t xml:space="preserve">Programs reporting a record count</t>
  </si>
  <si>
    <t xml:space="preserve">Sum of reported records</t>
  </si>
  <si>
    <t xml:space="preserve">Source: Cedar Press source registry (public program metadata only; no business or personal records). Assembled by Lumecon; per-program authority is each nation's own office.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</si>
</sst>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2" min="11" style="0" width="8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17" min="17" style="0" width="40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n">
        <v>2</v>
      </c>
      <c r="M2" s="2" t="s">
        <v>29</v>
      </c>
      <c r="N2" s="2"/>
      <c r="O2" s="2" t="s">
        <v>19</v>
      </c>
      <c r="P2" s="2" t="s">
        <v>30</v>
      </c>
      <c r="Q2" s="2" t="s">
        <v>31</v>
      </c>
      <c r="R2" s="2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21</v>
      </c>
      <c r="E3" s="2" t="s">
        <v>36</v>
      </c>
      <c r="F3" s="2" t="s">
        <v>37</v>
      </c>
      <c r="G3" s="2" t="s">
        <v>24</v>
      </c>
      <c r="H3" s="2" t="s">
        <v>25</v>
      </c>
      <c r="I3" s="2" t="s">
        <v>38</v>
      </c>
      <c r="J3" s="2" t="s">
        <v>39</v>
      </c>
      <c r="K3" s="2" t="s">
        <v>28</v>
      </c>
      <c r="L3" s="2" t="n">
        <v>2</v>
      </c>
      <c r="M3" s="2" t="s">
        <v>29</v>
      </c>
      <c r="N3" s="2"/>
      <c r="O3" s="2" t="s">
        <v>34</v>
      </c>
      <c r="P3" s="2" t="s">
        <v>30</v>
      </c>
      <c r="Q3" s="2" t="s">
        <v>40</v>
      </c>
      <c r="R3" s="2" t="s">
        <v>32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24</v>
      </c>
      <c r="H4" s="2" t="s">
        <v>25</v>
      </c>
      <c r="I4" s="2" t="s">
        <v>47</v>
      </c>
      <c r="J4" s="2" t="s">
        <v>48</v>
      </c>
      <c r="K4" s="2" t="s">
        <v>28</v>
      </c>
      <c r="L4" s="2" t="n">
        <v>2</v>
      </c>
      <c r="M4" s="2" t="s">
        <v>29</v>
      </c>
      <c r="N4" s="2"/>
      <c r="O4" s="2" t="s">
        <v>42</v>
      </c>
      <c r="P4" s="2" t="s">
        <v>30</v>
      </c>
      <c r="Q4" s="2" t="s">
        <v>49</v>
      </c>
      <c r="R4" s="2" t="s">
        <v>32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52</v>
      </c>
      <c r="D5" s="2" t="s">
        <v>21</v>
      </c>
      <c r="E5" s="2" t="s">
        <v>53</v>
      </c>
      <c r="F5" s="2" t="s">
        <v>54</v>
      </c>
      <c r="G5" s="2" t="s">
        <v>55</v>
      </c>
      <c r="H5" s="2" t="s">
        <v>25</v>
      </c>
      <c r="I5" s="2" t="s">
        <v>56</v>
      </c>
      <c r="J5" s="2" t="s">
        <v>57</v>
      </c>
      <c r="K5" s="2" t="s">
        <v>58</v>
      </c>
      <c r="L5" s="2" t="n">
        <v>3</v>
      </c>
      <c r="M5" s="2" t="s">
        <v>59</v>
      </c>
      <c r="N5" s="2"/>
      <c r="O5" s="2" t="s">
        <v>60</v>
      </c>
      <c r="P5" s="2" t="s">
        <v>30</v>
      </c>
      <c r="Q5" s="2" t="s">
        <v>61</v>
      </c>
      <c r="R5" s="2" t="s">
        <v>32</v>
      </c>
    </row>
    <row r="6" customFormat="false" ht="15" hidden="false" customHeight="false" outlineLevel="0" collapsed="false">
      <c r="A6" s="2" t="s">
        <v>62</v>
      </c>
      <c r="B6" s="2" t="s">
        <v>63</v>
      </c>
      <c r="C6" s="2" t="s">
        <v>64</v>
      </c>
      <c r="D6" s="2" t="s">
        <v>21</v>
      </c>
      <c r="E6" s="2" t="s">
        <v>65</v>
      </c>
      <c r="F6" s="2" t="s">
        <v>66</v>
      </c>
      <c r="G6" s="2" t="s">
        <v>24</v>
      </c>
      <c r="H6" s="2" t="s">
        <v>25</v>
      </c>
      <c r="I6" s="2" t="s">
        <v>67</v>
      </c>
      <c r="J6" s="2" t="s">
        <v>68</v>
      </c>
      <c r="K6" s="2" t="s">
        <v>69</v>
      </c>
      <c r="L6" s="2" t="n">
        <v>4</v>
      </c>
      <c r="M6" s="2" t="s">
        <v>29</v>
      </c>
      <c r="N6" s="2"/>
      <c r="O6" s="2" t="s">
        <v>63</v>
      </c>
      <c r="P6" s="2" t="s">
        <v>30</v>
      </c>
      <c r="Q6" s="2" t="s">
        <v>70</v>
      </c>
      <c r="R6" s="2" t="s">
        <v>32</v>
      </c>
    </row>
    <row r="7" customFormat="false" ht="15" hidden="false" customHeight="false" outlineLevel="0" collapsed="false">
      <c r="A7" s="2" t="s">
        <v>71</v>
      </c>
      <c r="B7" s="2" t="s">
        <v>72</v>
      </c>
      <c r="C7" s="2" t="s">
        <v>73</v>
      </c>
      <c r="D7" s="2" t="s">
        <v>21</v>
      </c>
      <c r="E7" s="2" t="s">
        <v>74</v>
      </c>
      <c r="F7" s="2" t="s">
        <v>66</v>
      </c>
      <c r="G7" s="2" t="s">
        <v>24</v>
      </c>
      <c r="H7" s="2" t="s">
        <v>25</v>
      </c>
      <c r="I7" s="2" t="s">
        <v>75</v>
      </c>
      <c r="J7" s="2" t="s">
        <v>27</v>
      </c>
      <c r="K7" s="2" t="s">
        <v>69</v>
      </c>
      <c r="L7" s="2" t="n">
        <v>4</v>
      </c>
      <c r="M7" s="2" t="s">
        <v>29</v>
      </c>
      <c r="N7" s="2" t="s">
        <v>76</v>
      </c>
      <c r="O7" s="2" t="s">
        <v>72</v>
      </c>
      <c r="P7" s="2" t="s">
        <v>30</v>
      </c>
      <c r="Q7" s="2" t="s">
        <v>77</v>
      </c>
      <c r="R7" s="2" t="s">
        <v>32</v>
      </c>
    </row>
    <row r="8" customFormat="false" ht="15" hidden="false" customHeight="false" outlineLevel="0" collapsed="false">
      <c r="A8" s="2" t="s">
        <v>78</v>
      </c>
      <c r="B8" s="2" t="s">
        <v>79</v>
      </c>
      <c r="C8" s="2" t="s">
        <v>80</v>
      </c>
      <c r="D8" s="2" t="s">
        <v>44</v>
      </c>
      <c r="E8" s="2" t="s">
        <v>81</v>
      </c>
      <c r="F8" s="2" t="s">
        <v>66</v>
      </c>
      <c r="G8" s="2" t="s">
        <v>24</v>
      </c>
      <c r="H8" s="2" t="s">
        <v>25</v>
      </c>
      <c r="I8" s="2" t="s">
        <v>82</v>
      </c>
      <c r="J8" s="2" t="s">
        <v>83</v>
      </c>
      <c r="K8" s="2" t="s">
        <v>84</v>
      </c>
      <c r="L8" s="2" t="n">
        <v>5</v>
      </c>
      <c r="M8" s="2" t="s">
        <v>59</v>
      </c>
      <c r="N8" s="2" t="s">
        <v>85</v>
      </c>
      <c r="O8" s="2" t="s">
        <v>86</v>
      </c>
      <c r="P8" s="2" t="s">
        <v>30</v>
      </c>
      <c r="Q8" s="2" t="s">
        <v>87</v>
      </c>
      <c r="R8" s="2" t="s">
        <v>32</v>
      </c>
    </row>
    <row r="9" customFormat="false" ht="15" hidden="false" customHeight="false" outlineLevel="0" collapsed="false">
      <c r="A9" s="2" t="s">
        <v>88</v>
      </c>
      <c r="B9" s="2" t="s">
        <v>89</v>
      </c>
      <c r="C9" s="2" t="s">
        <v>90</v>
      </c>
      <c r="D9" s="2" t="s">
        <v>21</v>
      </c>
      <c r="E9" s="2" t="s">
        <v>91</v>
      </c>
      <c r="F9" s="2" t="s">
        <v>92</v>
      </c>
      <c r="G9" s="2" t="s">
        <v>55</v>
      </c>
      <c r="H9" s="2" t="s">
        <v>25</v>
      </c>
      <c r="I9" s="2" t="s">
        <v>93</v>
      </c>
      <c r="J9" s="2" t="s">
        <v>94</v>
      </c>
      <c r="K9" s="2" t="s">
        <v>28</v>
      </c>
      <c r="L9" s="2" t="n">
        <v>2</v>
      </c>
      <c r="M9" s="2" t="s">
        <v>59</v>
      </c>
      <c r="N9" s="2"/>
      <c r="O9" s="2" t="s">
        <v>89</v>
      </c>
      <c r="P9" s="2" t="s">
        <v>30</v>
      </c>
      <c r="Q9" s="2" t="s">
        <v>95</v>
      </c>
      <c r="R9" s="2" t="s">
        <v>32</v>
      </c>
    </row>
    <row r="10" customFormat="false" ht="15" hidden="false" customHeight="false" outlineLevel="0" collapsed="false">
      <c r="A10" s="2" t="s">
        <v>96</v>
      </c>
      <c r="B10" s="2" t="s">
        <v>97</v>
      </c>
      <c r="C10" s="2" t="s">
        <v>73</v>
      </c>
      <c r="D10" s="2" t="s">
        <v>21</v>
      </c>
      <c r="E10" s="2" t="s">
        <v>98</v>
      </c>
      <c r="F10" s="2" t="s">
        <v>99</v>
      </c>
      <c r="G10" s="2" t="s">
        <v>55</v>
      </c>
      <c r="H10" s="2" t="s">
        <v>25</v>
      </c>
      <c r="I10" s="2" t="s">
        <v>100</v>
      </c>
      <c r="J10" s="2" t="s">
        <v>101</v>
      </c>
      <c r="K10" s="2" t="s">
        <v>28</v>
      </c>
      <c r="L10" s="2" t="n">
        <v>2</v>
      </c>
      <c r="M10" s="2" t="s">
        <v>59</v>
      </c>
      <c r="N10" s="2"/>
      <c r="O10" s="2" t="s">
        <v>97</v>
      </c>
      <c r="P10" s="2" t="s">
        <v>102</v>
      </c>
      <c r="Q10" s="2" t="s">
        <v>103</v>
      </c>
      <c r="R10" s="2" t="s">
        <v>32</v>
      </c>
    </row>
    <row r="11" customFormat="false" ht="15" hidden="false" customHeight="false" outlineLevel="0" collapsed="false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55</v>
      </c>
      <c r="H11" s="2" t="s">
        <v>25</v>
      </c>
      <c r="I11" s="2" t="s">
        <v>110</v>
      </c>
      <c r="J11" s="2" t="s">
        <v>101</v>
      </c>
      <c r="K11" s="2" t="s">
        <v>28</v>
      </c>
      <c r="L11" s="2" t="n">
        <v>2</v>
      </c>
      <c r="M11" s="2" t="s">
        <v>59</v>
      </c>
      <c r="N11" s="2"/>
      <c r="O11" s="2" t="s">
        <v>111</v>
      </c>
      <c r="P11" s="2" t="s">
        <v>102</v>
      </c>
      <c r="Q11" s="2" t="s">
        <v>112</v>
      </c>
      <c r="R11" s="2" t="s">
        <v>32</v>
      </c>
    </row>
    <row r="12" customFormat="false" ht="15" hidden="false" customHeight="false" outlineLevel="0" collapsed="false">
      <c r="A12" s="2" t="s">
        <v>113</v>
      </c>
      <c r="B12" s="2" t="s">
        <v>114</v>
      </c>
      <c r="C12" s="2" t="s">
        <v>115</v>
      </c>
      <c r="D12" s="2" t="s">
        <v>21</v>
      </c>
      <c r="E12" s="2" t="s">
        <v>116</v>
      </c>
      <c r="F12" s="2" t="s">
        <v>117</v>
      </c>
      <c r="G12" s="2" t="s">
        <v>55</v>
      </c>
      <c r="H12" s="2" t="s">
        <v>25</v>
      </c>
      <c r="I12" s="2" t="s">
        <v>118</v>
      </c>
      <c r="J12" s="2" t="s">
        <v>119</v>
      </c>
      <c r="K12" s="2" t="s">
        <v>58</v>
      </c>
      <c r="L12" s="2" t="n">
        <v>3</v>
      </c>
      <c r="M12" s="2" t="s">
        <v>29</v>
      </c>
      <c r="N12" s="2"/>
      <c r="O12" s="2" t="s">
        <v>114</v>
      </c>
      <c r="P12" s="2" t="s">
        <v>30</v>
      </c>
      <c r="Q12" s="2" t="s">
        <v>120</v>
      </c>
      <c r="R12" s="2" t="s">
        <v>32</v>
      </c>
    </row>
    <row r="13" customFormat="false" ht="15" hidden="false" customHeight="false" outlineLevel="0" collapsed="false">
      <c r="A13" s="2" t="s">
        <v>121</v>
      </c>
      <c r="B13" s="2" t="s">
        <v>122</v>
      </c>
      <c r="C13" s="2" t="s">
        <v>123</v>
      </c>
      <c r="D13" s="2" t="s">
        <v>21</v>
      </c>
      <c r="E13" s="2" t="s">
        <v>124</v>
      </c>
      <c r="F13" s="2" t="s">
        <v>92</v>
      </c>
      <c r="G13" s="2" t="s">
        <v>55</v>
      </c>
      <c r="H13" s="2" t="s">
        <v>25</v>
      </c>
      <c r="I13" s="2" t="s">
        <v>125</v>
      </c>
      <c r="J13" s="2" t="s">
        <v>126</v>
      </c>
      <c r="K13" s="2" t="s">
        <v>58</v>
      </c>
      <c r="L13" s="2" t="n">
        <v>3</v>
      </c>
      <c r="M13" s="2" t="s">
        <v>29</v>
      </c>
      <c r="N13" s="2"/>
      <c r="O13" s="2" t="s">
        <v>122</v>
      </c>
      <c r="P13" s="2" t="s">
        <v>102</v>
      </c>
      <c r="Q13" s="2" t="s">
        <v>127</v>
      </c>
      <c r="R13" s="2" t="s">
        <v>32</v>
      </c>
    </row>
    <row r="14" customFormat="false" ht="15" hidden="false" customHeight="false" outlineLevel="0" collapsed="false">
      <c r="A14" s="2" t="s">
        <v>128</v>
      </c>
      <c r="B14" s="2" t="s">
        <v>129</v>
      </c>
      <c r="C14" s="2" t="s">
        <v>35</v>
      </c>
      <c r="D14" s="2" t="s">
        <v>21</v>
      </c>
      <c r="E14" s="2" t="s">
        <v>130</v>
      </c>
      <c r="F14" s="2" t="s">
        <v>131</v>
      </c>
      <c r="G14" s="2" t="s">
        <v>55</v>
      </c>
      <c r="H14" s="2" t="s">
        <v>25</v>
      </c>
      <c r="I14" s="2" t="s">
        <v>132</v>
      </c>
      <c r="J14" s="2" t="s">
        <v>133</v>
      </c>
      <c r="K14" s="2" t="s">
        <v>58</v>
      </c>
      <c r="L14" s="2" t="n">
        <v>3</v>
      </c>
      <c r="M14" s="2" t="s">
        <v>59</v>
      </c>
      <c r="N14" s="2"/>
      <c r="O14" s="2" t="s">
        <v>129</v>
      </c>
      <c r="P14" s="2" t="s">
        <v>30</v>
      </c>
      <c r="Q14" s="2" t="s">
        <v>134</v>
      </c>
      <c r="R14" s="2" t="s">
        <v>32</v>
      </c>
    </row>
    <row r="15" customFormat="false" ht="15" hidden="false" customHeight="false" outlineLevel="0" collapsed="false">
      <c r="A15" s="2" t="s">
        <v>135</v>
      </c>
      <c r="B15" s="2" t="s">
        <v>136</v>
      </c>
      <c r="C15" s="2" t="s">
        <v>137</v>
      </c>
      <c r="D15" s="2" t="s">
        <v>21</v>
      </c>
      <c r="E15" s="2" t="s">
        <v>138</v>
      </c>
      <c r="F15" s="2" t="s">
        <v>139</v>
      </c>
      <c r="G15" s="2" t="s">
        <v>55</v>
      </c>
      <c r="H15" s="2" t="s">
        <v>25</v>
      </c>
      <c r="I15" s="2" t="s">
        <v>140</v>
      </c>
      <c r="J15" s="2" t="s">
        <v>141</v>
      </c>
      <c r="K15" s="2" t="s">
        <v>58</v>
      </c>
      <c r="L15" s="2" t="n">
        <v>3</v>
      </c>
      <c r="M15" s="2" t="s">
        <v>59</v>
      </c>
      <c r="N15" s="2"/>
      <c r="O15" s="2" t="s">
        <v>136</v>
      </c>
      <c r="P15" s="2" t="s">
        <v>30</v>
      </c>
      <c r="Q15" s="2" t="s">
        <v>142</v>
      </c>
      <c r="R15" s="2" t="s">
        <v>32</v>
      </c>
    </row>
    <row r="16" customFormat="false" ht="15" hidden="false" customHeight="false" outlineLevel="0" collapsed="false">
      <c r="A16" s="2" t="s">
        <v>143</v>
      </c>
      <c r="B16" s="2" t="s">
        <v>144</v>
      </c>
      <c r="C16" s="2" t="s">
        <v>73</v>
      </c>
      <c r="D16" s="2" t="s">
        <v>21</v>
      </c>
      <c r="E16" s="2" t="s">
        <v>145</v>
      </c>
      <c r="F16" s="2" t="s">
        <v>146</v>
      </c>
      <c r="G16" s="2" t="s">
        <v>55</v>
      </c>
      <c r="H16" s="2" t="s">
        <v>25</v>
      </c>
      <c r="I16" s="2" t="s">
        <v>147</v>
      </c>
      <c r="J16" s="2" t="s">
        <v>148</v>
      </c>
      <c r="K16" s="2" t="s">
        <v>58</v>
      </c>
      <c r="L16" s="2" t="n">
        <v>3</v>
      </c>
      <c r="M16" s="2" t="s">
        <v>59</v>
      </c>
      <c r="N16" s="2"/>
      <c r="O16" s="2" t="s">
        <v>144</v>
      </c>
      <c r="P16" s="2" t="s">
        <v>30</v>
      </c>
      <c r="Q16" s="2" t="s">
        <v>149</v>
      </c>
      <c r="R16" s="2" t="s">
        <v>32</v>
      </c>
    </row>
    <row r="17" customFormat="false" ht="15" hidden="false" customHeight="false" outlineLevel="0" collapsed="false">
      <c r="A17" s="2" t="s">
        <v>150</v>
      </c>
      <c r="B17" s="2" t="s">
        <v>151</v>
      </c>
      <c r="C17" s="2" t="s">
        <v>73</v>
      </c>
      <c r="D17" s="2" t="s">
        <v>21</v>
      </c>
      <c r="E17" s="2" t="s">
        <v>152</v>
      </c>
      <c r="F17" s="2" t="s">
        <v>92</v>
      </c>
      <c r="G17" s="2" t="s">
        <v>55</v>
      </c>
      <c r="H17" s="2" t="s">
        <v>25</v>
      </c>
      <c r="I17" s="2" t="s">
        <v>153</v>
      </c>
      <c r="J17" s="2" t="s">
        <v>154</v>
      </c>
      <c r="K17" s="2" t="s">
        <v>58</v>
      </c>
      <c r="L17" s="2" t="n">
        <v>3</v>
      </c>
      <c r="M17" s="2" t="s">
        <v>59</v>
      </c>
      <c r="N17" s="2"/>
      <c r="O17" s="2" t="s">
        <v>151</v>
      </c>
      <c r="P17" s="2" t="s">
        <v>30</v>
      </c>
      <c r="Q17" s="2" t="s">
        <v>155</v>
      </c>
      <c r="R17" s="2" t="s">
        <v>32</v>
      </c>
    </row>
    <row r="18" customFormat="false" ht="15" hidden="false" customHeight="false" outlineLevel="0" collapsed="false">
      <c r="A18" s="2" t="s">
        <v>156</v>
      </c>
      <c r="B18" s="2" t="s">
        <v>157</v>
      </c>
      <c r="C18" s="2" t="s">
        <v>52</v>
      </c>
      <c r="D18" s="2" t="s">
        <v>21</v>
      </c>
      <c r="E18" s="2" t="s">
        <v>158</v>
      </c>
      <c r="F18" s="2" t="s">
        <v>109</v>
      </c>
      <c r="G18" s="2" t="s">
        <v>55</v>
      </c>
      <c r="H18" s="2" t="s">
        <v>25</v>
      </c>
      <c r="I18" s="2" t="s">
        <v>159</v>
      </c>
      <c r="J18" s="2" t="s">
        <v>160</v>
      </c>
      <c r="K18" s="2" t="s">
        <v>58</v>
      </c>
      <c r="L18" s="2" t="n">
        <v>3</v>
      </c>
      <c r="M18" s="2" t="s">
        <v>29</v>
      </c>
      <c r="N18" s="2"/>
      <c r="O18" s="2" t="s">
        <v>161</v>
      </c>
      <c r="P18" s="2" t="s">
        <v>30</v>
      </c>
      <c r="Q18" s="2" t="s">
        <v>162</v>
      </c>
      <c r="R18" s="2" t="s">
        <v>32</v>
      </c>
    </row>
    <row r="19" customFormat="false" ht="15" hidden="false" customHeight="false" outlineLevel="0" collapsed="false">
      <c r="A19" s="2" t="s">
        <v>163</v>
      </c>
      <c r="B19" s="2" t="s">
        <v>164</v>
      </c>
      <c r="C19" s="2" t="s">
        <v>80</v>
      </c>
      <c r="D19" s="2" t="s">
        <v>44</v>
      </c>
      <c r="E19" s="2" t="s">
        <v>108</v>
      </c>
      <c r="F19" s="2" t="s">
        <v>109</v>
      </c>
      <c r="G19" s="2" t="s">
        <v>55</v>
      </c>
      <c r="H19" s="2" t="s">
        <v>25</v>
      </c>
      <c r="I19" s="2" t="s">
        <v>165</v>
      </c>
      <c r="J19" s="2" t="s">
        <v>166</v>
      </c>
      <c r="K19" s="2" t="s">
        <v>58</v>
      </c>
      <c r="L19" s="2" t="n">
        <v>3</v>
      </c>
      <c r="M19" s="2" t="s">
        <v>29</v>
      </c>
      <c r="N19" s="2"/>
      <c r="O19" s="2" t="s">
        <v>167</v>
      </c>
      <c r="P19" s="2" t="s">
        <v>102</v>
      </c>
      <c r="Q19" s="2" t="s">
        <v>168</v>
      </c>
      <c r="R19" s="2" t="s">
        <v>32</v>
      </c>
    </row>
    <row r="20" customFormat="false" ht="15" hidden="false" customHeight="false" outlineLevel="0" collapsed="false">
      <c r="A20" s="2" t="s">
        <v>169</v>
      </c>
      <c r="B20" s="2" t="s">
        <v>170</v>
      </c>
      <c r="C20" s="2" t="s">
        <v>52</v>
      </c>
      <c r="D20" s="2" t="s">
        <v>21</v>
      </c>
      <c r="E20" s="2" t="s">
        <v>171</v>
      </c>
      <c r="F20" s="2" t="s">
        <v>109</v>
      </c>
      <c r="G20" s="2" t="s">
        <v>55</v>
      </c>
      <c r="H20" s="2" t="s">
        <v>25</v>
      </c>
      <c r="I20" s="2" t="s">
        <v>165</v>
      </c>
      <c r="J20" s="2" t="s">
        <v>166</v>
      </c>
      <c r="K20" s="2" t="s">
        <v>58</v>
      </c>
      <c r="L20" s="2" t="n">
        <v>3</v>
      </c>
      <c r="M20" s="2" t="s">
        <v>59</v>
      </c>
      <c r="N20" s="2"/>
      <c r="O20" s="2" t="s">
        <v>172</v>
      </c>
      <c r="P20" s="2" t="s">
        <v>102</v>
      </c>
      <c r="Q20" s="2" t="s">
        <v>173</v>
      </c>
      <c r="R20" s="2" t="s">
        <v>32</v>
      </c>
    </row>
    <row r="21" customFormat="false" ht="15" hidden="false" customHeight="false" outlineLevel="0" collapsed="false">
      <c r="A21" s="2" t="s">
        <v>174</v>
      </c>
      <c r="B21" s="2" t="s">
        <v>175</v>
      </c>
      <c r="C21" s="2" t="s">
        <v>80</v>
      </c>
      <c r="D21" s="2" t="s">
        <v>44</v>
      </c>
      <c r="E21" s="2" t="s">
        <v>176</v>
      </c>
      <c r="F21" s="2" t="s">
        <v>109</v>
      </c>
      <c r="G21" s="2" t="s">
        <v>55</v>
      </c>
      <c r="H21" s="2" t="s">
        <v>25</v>
      </c>
      <c r="I21" s="2" t="s">
        <v>177</v>
      </c>
      <c r="J21" s="2" t="s">
        <v>178</v>
      </c>
      <c r="K21" s="2" t="s">
        <v>58</v>
      </c>
      <c r="L21" s="2" t="n">
        <v>3</v>
      </c>
      <c r="M21" s="2" t="s">
        <v>59</v>
      </c>
      <c r="N21" s="2"/>
      <c r="O21" s="2" t="s">
        <v>179</v>
      </c>
      <c r="P21" s="2" t="s">
        <v>102</v>
      </c>
      <c r="Q21" s="2" t="s">
        <v>180</v>
      </c>
      <c r="R21" s="2" t="s">
        <v>32</v>
      </c>
    </row>
    <row r="22" customFormat="false" ht="15" hidden="false" customHeight="false" outlineLevel="0" collapsed="false">
      <c r="A22" s="2" t="s">
        <v>181</v>
      </c>
      <c r="B22" s="2" t="s">
        <v>182</v>
      </c>
      <c r="C22" s="2" t="s">
        <v>80</v>
      </c>
      <c r="D22" s="2" t="s">
        <v>44</v>
      </c>
      <c r="E22" s="2" t="s">
        <v>183</v>
      </c>
      <c r="F22" s="2" t="s">
        <v>184</v>
      </c>
      <c r="G22" s="2" t="s">
        <v>55</v>
      </c>
      <c r="H22" s="2" t="s">
        <v>25</v>
      </c>
      <c r="I22" s="2" t="s">
        <v>185</v>
      </c>
      <c r="J22" s="2" t="s">
        <v>186</v>
      </c>
      <c r="K22" s="2" t="s">
        <v>58</v>
      </c>
      <c r="L22" s="2" t="n">
        <v>3</v>
      </c>
      <c r="M22" s="2" t="s">
        <v>187</v>
      </c>
      <c r="N22" s="2" t="s">
        <v>188</v>
      </c>
      <c r="O22" s="2" t="s">
        <v>189</v>
      </c>
      <c r="P22" s="2" t="s">
        <v>30</v>
      </c>
      <c r="Q22" s="2" t="s">
        <v>190</v>
      </c>
      <c r="R22" s="2" t="s">
        <v>32</v>
      </c>
    </row>
    <row r="23" customFormat="false" ht="15" hidden="false" customHeight="false" outlineLevel="0" collapsed="false">
      <c r="A23" s="2" t="s">
        <v>191</v>
      </c>
      <c r="B23" s="2" t="s">
        <v>192</v>
      </c>
      <c r="C23" s="2" t="s">
        <v>193</v>
      </c>
      <c r="D23" s="2" t="s">
        <v>21</v>
      </c>
      <c r="E23" s="2" t="s">
        <v>194</v>
      </c>
      <c r="F23" s="2" t="s">
        <v>195</v>
      </c>
      <c r="G23" s="2" t="s">
        <v>55</v>
      </c>
      <c r="H23" s="2" t="s">
        <v>25</v>
      </c>
      <c r="I23" s="2" t="s">
        <v>196</v>
      </c>
      <c r="J23" s="2" t="s">
        <v>197</v>
      </c>
      <c r="K23" s="2" t="s">
        <v>69</v>
      </c>
      <c r="L23" s="2" t="n">
        <v>4</v>
      </c>
      <c r="M23" s="2" t="s">
        <v>29</v>
      </c>
      <c r="N23" s="2"/>
      <c r="O23" s="2" t="s">
        <v>198</v>
      </c>
      <c r="P23" s="2" t="s">
        <v>102</v>
      </c>
      <c r="Q23" s="2" t="s">
        <v>199</v>
      </c>
      <c r="R23" s="2" t="s">
        <v>32</v>
      </c>
    </row>
    <row r="24" customFormat="false" ht="15" hidden="false" customHeight="false" outlineLevel="0" collapsed="false">
      <c r="A24" s="2" t="s">
        <v>200</v>
      </c>
      <c r="B24" s="2" t="s">
        <v>201</v>
      </c>
      <c r="C24" s="2" t="s">
        <v>202</v>
      </c>
      <c r="D24" s="2" t="s">
        <v>21</v>
      </c>
      <c r="E24" s="2" t="s">
        <v>203</v>
      </c>
      <c r="F24" s="2" t="s">
        <v>92</v>
      </c>
      <c r="G24" s="2" t="s">
        <v>55</v>
      </c>
      <c r="H24" s="2" t="s">
        <v>25</v>
      </c>
      <c r="I24" s="2" t="s">
        <v>196</v>
      </c>
      <c r="J24" s="2" t="s">
        <v>204</v>
      </c>
      <c r="K24" s="2" t="s">
        <v>69</v>
      </c>
      <c r="L24" s="2" t="n">
        <v>4</v>
      </c>
      <c r="M24" s="2" t="s">
        <v>59</v>
      </c>
      <c r="N24" s="2"/>
      <c r="O24" s="2" t="s">
        <v>201</v>
      </c>
      <c r="P24" s="2" t="s">
        <v>30</v>
      </c>
      <c r="Q24" s="2" t="s">
        <v>205</v>
      </c>
      <c r="R24" s="2" t="s">
        <v>32</v>
      </c>
    </row>
    <row r="25" customFormat="false" ht="15" hidden="false" customHeight="false" outlineLevel="0" collapsed="false">
      <c r="A25" s="2" t="s">
        <v>206</v>
      </c>
      <c r="B25" s="2" t="s">
        <v>207</v>
      </c>
      <c r="C25" s="2" t="s">
        <v>208</v>
      </c>
      <c r="D25" s="2" t="s">
        <v>21</v>
      </c>
      <c r="E25" s="2" t="s">
        <v>209</v>
      </c>
      <c r="F25" s="2" t="s">
        <v>210</v>
      </c>
      <c r="G25" s="2" t="s">
        <v>55</v>
      </c>
      <c r="H25" s="2" t="s">
        <v>25</v>
      </c>
      <c r="I25" s="2" t="s">
        <v>211</v>
      </c>
      <c r="J25" s="2" t="s">
        <v>212</v>
      </c>
      <c r="K25" s="2" t="s">
        <v>69</v>
      </c>
      <c r="L25" s="2" t="n">
        <v>4</v>
      </c>
      <c r="M25" s="2" t="s">
        <v>59</v>
      </c>
      <c r="N25" s="2" t="s">
        <v>213</v>
      </c>
      <c r="O25" s="2" t="s">
        <v>214</v>
      </c>
      <c r="P25" s="2" t="s">
        <v>102</v>
      </c>
      <c r="Q25" s="2" t="s">
        <v>215</v>
      </c>
      <c r="R25" s="2" t="s">
        <v>32</v>
      </c>
    </row>
    <row r="26" customFormat="false" ht="15" hidden="false" customHeight="false" outlineLevel="0" collapsed="false">
      <c r="A26" s="2" t="s">
        <v>216</v>
      </c>
      <c r="B26" s="2" t="s">
        <v>217</v>
      </c>
      <c r="C26" s="2" t="s">
        <v>80</v>
      </c>
      <c r="D26" s="2" t="s">
        <v>44</v>
      </c>
      <c r="E26" s="2" t="s">
        <v>218</v>
      </c>
      <c r="F26" s="2" t="s">
        <v>219</v>
      </c>
      <c r="G26" s="2" t="s">
        <v>55</v>
      </c>
      <c r="H26" s="2" t="s">
        <v>25</v>
      </c>
      <c r="I26" s="2" t="s">
        <v>220</v>
      </c>
      <c r="J26" s="2" t="s">
        <v>27</v>
      </c>
      <c r="K26" s="2" t="s">
        <v>69</v>
      </c>
      <c r="L26" s="2" t="n">
        <v>4</v>
      </c>
      <c r="M26" s="2" t="s">
        <v>29</v>
      </c>
      <c r="N26" s="2"/>
      <c r="O26" s="2" t="s">
        <v>167</v>
      </c>
      <c r="P26" s="2" t="s">
        <v>102</v>
      </c>
      <c r="Q26" s="2" t="s">
        <v>221</v>
      </c>
      <c r="R26" s="2" t="s">
        <v>32</v>
      </c>
    </row>
    <row r="27" customFormat="false" ht="15" hidden="false" customHeight="false" outlineLevel="0" collapsed="false">
      <c r="A27" s="2" t="s">
        <v>222</v>
      </c>
      <c r="B27" s="2" t="s">
        <v>223</v>
      </c>
      <c r="C27" s="2" t="s">
        <v>224</v>
      </c>
      <c r="D27" s="2" t="s">
        <v>21</v>
      </c>
      <c r="E27" s="2" t="s">
        <v>225</v>
      </c>
      <c r="F27" s="2" t="s">
        <v>109</v>
      </c>
      <c r="G27" s="2" t="s">
        <v>55</v>
      </c>
      <c r="H27" s="2" t="s">
        <v>25</v>
      </c>
      <c r="I27" s="2" t="s">
        <v>226</v>
      </c>
      <c r="J27" s="2" t="s">
        <v>27</v>
      </c>
      <c r="K27" s="2" t="s">
        <v>69</v>
      </c>
      <c r="L27" s="2" t="n">
        <v>4</v>
      </c>
      <c r="M27" s="2" t="s">
        <v>29</v>
      </c>
      <c r="N27" s="2"/>
      <c r="O27" s="2" t="s">
        <v>167</v>
      </c>
      <c r="P27" s="2" t="s">
        <v>102</v>
      </c>
      <c r="Q27" s="2" t="s">
        <v>227</v>
      </c>
      <c r="R27" s="2" t="s">
        <v>32</v>
      </c>
    </row>
    <row r="28" customFormat="false" ht="15" hidden="false" customHeight="false" outlineLevel="0" collapsed="false">
      <c r="A28" s="2" t="s">
        <v>228</v>
      </c>
      <c r="B28" s="2" t="s">
        <v>229</v>
      </c>
      <c r="C28" s="2" t="s">
        <v>230</v>
      </c>
      <c r="D28" s="2" t="s">
        <v>21</v>
      </c>
      <c r="E28" s="2" t="s">
        <v>231</v>
      </c>
      <c r="F28" s="2" t="s">
        <v>109</v>
      </c>
      <c r="G28" s="2" t="s">
        <v>55</v>
      </c>
      <c r="H28" s="2" t="s">
        <v>25</v>
      </c>
      <c r="I28" s="2" t="s">
        <v>220</v>
      </c>
      <c r="J28" s="2" t="s">
        <v>232</v>
      </c>
      <c r="K28" s="2" t="s">
        <v>69</v>
      </c>
      <c r="L28" s="2" t="n">
        <v>4</v>
      </c>
      <c r="M28" s="2" t="s">
        <v>29</v>
      </c>
      <c r="N28" s="2" t="s">
        <v>233</v>
      </c>
      <c r="O28" s="2" t="s">
        <v>234</v>
      </c>
      <c r="P28" s="2" t="s">
        <v>30</v>
      </c>
      <c r="Q28" s="2" t="s">
        <v>235</v>
      </c>
      <c r="R28" s="2" t="s">
        <v>32</v>
      </c>
    </row>
    <row r="29" customFormat="false" ht="15" hidden="false" customHeight="false" outlineLevel="0" collapsed="false">
      <c r="A29" s="2" t="s">
        <v>236</v>
      </c>
      <c r="B29" s="2" t="s">
        <v>237</v>
      </c>
      <c r="C29" s="2" t="s">
        <v>80</v>
      </c>
      <c r="D29" s="2" t="s">
        <v>44</v>
      </c>
      <c r="E29" s="2" t="s">
        <v>238</v>
      </c>
      <c r="F29" s="2" t="s">
        <v>109</v>
      </c>
      <c r="G29" s="2" t="s">
        <v>55</v>
      </c>
      <c r="H29" s="2" t="s">
        <v>25</v>
      </c>
      <c r="I29" s="2" t="s">
        <v>239</v>
      </c>
      <c r="J29" s="2" t="s">
        <v>232</v>
      </c>
      <c r="K29" s="2" t="s">
        <v>69</v>
      </c>
      <c r="L29" s="2" t="n">
        <v>4</v>
      </c>
      <c r="M29" s="2" t="s">
        <v>29</v>
      </c>
      <c r="N29" s="2" t="s">
        <v>240</v>
      </c>
      <c r="O29" s="2" t="s">
        <v>241</v>
      </c>
      <c r="P29" s="2" t="s">
        <v>30</v>
      </c>
      <c r="Q29" s="2" t="s">
        <v>242</v>
      </c>
      <c r="R29" s="2" t="s">
        <v>32</v>
      </c>
    </row>
    <row r="30" customFormat="false" ht="15" hidden="false" customHeight="false" outlineLevel="0" collapsed="false">
      <c r="A30" s="2" t="s">
        <v>243</v>
      </c>
      <c r="B30" s="2" t="s">
        <v>244</v>
      </c>
      <c r="C30" s="2" t="s">
        <v>73</v>
      </c>
      <c r="D30" s="2" t="s">
        <v>21</v>
      </c>
      <c r="E30" s="2" t="s">
        <v>245</v>
      </c>
      <c r="F30" s="2" t="s">
        <v>54</v>
      </c>
      <c r="G30" s="2" t="s">
        <v>55</v>
      </c>
      <c r="H30" s="2" t="s">
        <v>25</v>
      </c>
      <c r="I30" s="2" t="s">
        <v>246</v>
      </c>
      <c r="J30" s="2" t="s">
        <v>247</v>
      </c>
      <c r="K30" s="2" t="s">
        <v>84</v>
      </c>
      <c r="L30" s="2" t="n">
        <v>5</v>
      </c>
      <c r="M30" s="2" t="s">
        <v>59</v>
      </c>
      <c r="N30" s="2"/>
      <c r="O30" s="2" t="s">
        <v>248</v>
      </c>
      <c r="P30" s="2" t="s">
        <v>30</v>
      </c>
      <c r="Q30" s="2" t="s">
        <v>249</v>
      </c>
      <c r="R30" s="2" t="s">
        <v>32</v>
      </c>
    </row>
    <row r="31" customFormat="false" ht="15" hidden="false" customHeight="false" outlineLevel="0" collapsed="false">
      <c r="A31" s="2" t="s">
        <v>250</v>
      </c>
      <c r="B31" s="2" t="s">
        <v>251</v>
      </c>
      <c r="C31" s="2" t="s">
        <v>106</v>
      </c>
      <c r="D31" s="2" t="s">
        <v>107</v>
      </c>
      <c r="E31" s="2" t="s">
        <v>252</v>
      </c>
      <c r="F31" s="2" t="s">
        <v>253</v>
      </c>
      <c r="G31" s="2" t="s">
        <v>254</v>
      </c>
      <c r="H31" s="2" t="s">
        <v>255</v>
      </c>
      <c r="I31" s="2" t="s">
        <v>256</v>
      </c>
      <c r="J31" s="2" t="s">
        <v>257</v>
      </c>
      <c r="K31" s="2" t="s">
        <v>258</v>
      </c>
      <c r="L31" s="2" t="n">
        <v>1</v>
      </c>
      <c r="M31" s="2" t="s">
        <v>187</v>
      </c>
      <c r="N31" s="2"/>
      <c r="O31" s="2" t="s">
        <v>259</v>
      </c>
      <c r="P31" s="2" t="s">
        <v>30</v>
      </c>
      <c r="Q31" s="2" t="s">
        <v>260</v>
      </c>
      <c r="R31" s="2" t="s">
        <v>261</v>
      </c>
    </row>
    <row r="32" customFormat="false" ht="15" hidden="false" customHeight="false" outlineLevel="0" collapsed="false">
      <c r="A32" s="2" t="s">
        <v>262</v>
      </c>
      <c r="B32" s="2" t="s">
        <v>263</v>
      </c>
      <c r="C32" s="2" t="s">
        <v>264</v>
      </c>
      <c r="D32" s="2" t="s">
        <v>107</v>
      </c>
      <c r="E32" s="2" t="s">
        <v>265</v>
      </c>
      <c r="F32" s="2" t="s">
        <v>253</v>
      </c>
      <c r="G32" s="2" t="s">
        <v>254</v>
      </c>
      <c r="H32" s="2" t="s">
        <v>255</v>
      </c>
      <c r="I32" s="2" t="s">
        <v>266</v>
      </c>
      <c r="J32" s="2" t="s">
        <v>267</v>
      </c>
      <c r="K32" s="2" t="s">
        <v>258</v>
      </c>
      <c r="L32" s="2" t="n">
        <v>1</v>
      </c>
      <c r="M32" s="2" t="s">
        <v>268</v>
      </c>
      <c r="N32" s="2"/>
      <c r="O32" s="2" t="s">
        <v>269</v>
      </c>
      <c r="P32" s="2" t="s">
        <v>270</v>
      </c>
      <c r="Q32" s="2" t="s">
        <v>271</v>
      </c>
      <c r="R32" s="2" t="s">
        <v>32</v>
      </c>
    </row>
    <row r="33" customFormat="false" ht="15" hidden="false" customHeight="false" outlineLevel="0" collapsed="false">
      <c r="A33" s="2" t="s">
        <v>272</v>
      </c>
      <c r="B33" s="2" t="s">
        <v>273</v>
      </c>
      <c r="C33" s="2" t="s">
        <v>35</v>
      </c>
      <c r="D33" s="2" t="s">
        <v>107</v>
      </c>
      <c r="E33" s="2" t="s">
        <v>274</v>
      </c>
      <c r="F33" s="2" t="s">
        <v>253</v>
      </c>
      <c r="G33" s="2" t="s">
        <v>254</v>
      </c>
      <c r="H33" s="2" t="s">
        <v>255</v>
      </c>
      <c r="I33" s="2" t="s">
        <v>275</v>
      </c>
      <c r="J33" s="2" t="s">
        <v>276</v>
      </c>
      <c r="K33" s="2" t="s">
        <v>28</v>
      </c>
      <c r="L33" s="2" t="n">
        <v>2</v>
      </c>
      <c r="M33" s="2" t="s">
        <v>268</v>
      </c>
      <c r="N33" s="2"/>
      <c r="O33" s="2" t="s">
        <v>277</v>
      </c>
      <c r="P33" s="2" t="s">
        <v>270</v>
      </c>
      <c r="Q33" s="2" t="s">
        <v>278</v>
      </c>
      <c r="R33" s="2" t="s">
        <v>32</v>
      </c>
    </row>
    <row r="34" customFormat="false" ht="15" hidden="false" customHeight="false" outlineLevel="0" collapsed="false">
      <c r="A34" s="2" t="s">
        <v>279</v>
      </c>
      <c r="B34" s="2" t="s">
        <v>280</v>
      </c>
      <c r="C34" s="2" t="s">
        <v>20</v>
      </c>
      <c r="D34" s="2" t="s">
        <v>21</v>
      </c>
      <c r="E34" s="2" t="s">
        <v>281</v>
      </c>
      <c r="F34" s="2" t="s">
        <v>282</v>
      </c>
      <c r="G34" s="2" t="s">
        <v>283</v>
      </c>
      <c r="H34" s="2" t="s">
        <v>284</v>
      </c>
      <c r="I34" s="2" t="s">
        <v>285</v>
      </c>
      <c r="J34" s="2" t="s">
        <v>286</v>
      </c>
      <c r="K34" s="2" t="s">
        <v>258</v>
      </c>
      <c r="L34" s="2" t="n">
        <v>1</v>
      </c>
      <c r="M34" s="2" t="s">
        <v>29</v>
      </c>
      <c r="N34" s="2"/>
      <c r="O34" s="2" t="s">
        <v>287</v>
      </c>
      <c r="P34" s="2" t="s">
        <v>102</v>
      </c>
      <c r="Q34" s="2" t="s">
        <v>288</v>
      </c>
      <c r="R34" s="2" t="s">
        <v>261</v>
      </c>
    </row>
    <row r="35" customFormat="false" ht="15" hidden="false" customHeight="false" outlineLevel="0" collapsed="false">
      <c r="A35" s="2" t="s">
        <v>289</v>
      </c>
      <c r="B35" s="2" t="s">
        <v>290</v>
      </c>
      <c r="C35" s="2" t="s">
        <v>52</v>
      </c>
      <c r="D35" s="2" t="s">
        <v>107</v>
      </c>
      <c r="E35" s="2" t="s">
        <v>291</v>
      </c>
      <c r="F35" s="2" t="s">
        <v>292</v>
      </c>
      <c r="G35" s="2" t="s">
        <v>283</v>
      </c>
      <c r="H35" s="2" t="s">
        <v>284</v>
      </c>
      <c r="I35" s="2" t="s">
        <v>293</v>
      </c>
      <c r="J35" s="2" t="s">
        <v>294</v>
      </c>
      <c r="K35" s="2" t="s">
        <v>258</v>
      </c>
      <c r="L35" s="2" t="n">
        <v>1</v>
      </c>
      <c r="M35" s="2" t="s">
        <v>29</v>
      </c>
      <c r="N35" s="2"/>
      <c r="O35" s="2" t="s">
        <v>295</v>
      </c>
      <c r="P35" s="2" t="s">
        <v>102</v>
      </c>
      <c r="Q35" s="2" t="s">
        <v>296</v>
      </c>
      <c r="R35" s="2" t="s">
        <v>32</v>
      </c>
    </row>
    <row r="36" customFormat="false" ht="15" hidden="false" customHeight="false" outlineLevel="0" collapsed="false">
      <c r="A36" s="2" t="s">
        <v>297</v>
      </c>
      <c r="B36" s="2" t="s">
        <v>298</v>
      </c>
      <c r="C36" s="2" t="s">
        <v>299</v>
      </c>
      <c r="D36" s="2" t="s">
        <v>21</v>
      </c>
      <c r="E36" s="2" t="s">
        <v>300</v>
      </c>
      <c r="F36" s="2" t="s">
        <v>92</v>
      </c>
      <c r="G36" s="2" t="s">
        <v>55</v>
      </c>
      <c r="H36" s="2" t="s">
        <v>284</v>
      </c>
      <c r="I36" s="2" t="s">
        <v>301</v>
      </c>
      <c r="J36" s="2" t="s">
        <v>302</v>
      </c>
      <c r="K36" s="2" t="s">
        <v>258</v>
      </c>
      <c r="L36" s="2" t="n">
        <v>1</v>
      </c>
      <c r="M36" s="2" t="s">
        <v>29</v>
      </c>
      <c r="N36" s="2"/>
      <c r="O36" s="2" t="s">
        <v>298</v>
      </c>
      <c r="P36" s="2" t="s">
        <v>30</v>
      </c>
      <c r="Q36" s="2" t="s">
        <v>303</v>
      </c>
      <c r="R36" s="2" t="s">
        <v>32</v>
      </c>
    </row>
    <row r="37" customFormat="false" ht="15" hidden="false" customHeight="false" outlineLevel="0" collapsed="false">
      <c r="A37" s="2" t="s">
        <v>304</v>
      </c>
      <c r="B37" s="2" t="s">
        <v>305</v>
      </c>
      <c r="C37" s="2" t="s">
        <v>52</v>
      </c>
      <c r="D37" s="2" t="s">
        <v>107</v>
      </c>
      <c r="E37" s="2" t="s">
        <v>306</v>
      </c>
      <c r="F37" s="2" t="s">
        <v>307</v>
      </c>
      <c r="G37" s="2" t="s">
        <v>308</v>
      </c>
      <c r="H37" s="2" t="s">
        <v>284</v>
      </c>
      <c r="I37" s="2" t="s">
        <v>309</v>
      </c>
      <c r="J37" s="2" t="s">
        <v>310</v>
      </c>
      <c r="K37" s="2" t="s">
        <v>258</v>
      </c>
      <c r="L37" s="2" t="n">
        <v>1</v>
      </c>
      <c r="M37" s="2" t="s">
        <v>268</v>
      </c>
      <c r="N37" s="2"/>
      <c r="O37" s="2" t="s">
        <v>311</v>
      </c>
      <c r="P37" s="2" t="s">
        <v>30</v>
      </c>
      <c r="Q37" s="2" t="s">
        <v>312</v>
      </c>
      <c r="R37" s="2" t="s">
        <v>32</v>
      </c>
    </row>
    <row r="38" customFormat="false" ht="15" hidden="false" customHeight="false" outlineLevel="0" collapsed="false">
      <c r="A38" s="2" t="s">
        <v>313</v>
      </c>
      <c r="B38" s="2" t="s">
        <v>314</v>
      </c>
      <c r="C38" s="2" t="s">
        <v>35</v>
      </c>
      <c r="D38" s="2" t="s">
        <v>107</v>
      </c>
      <c r="E38" s="2" t="s">
        <v>315</v>
      </c>
      <c r="F38" s="2" t="s">
        <v>316</v>
      </c>
      <c r="G38" s="2" t="s">
        <v>283</v>
      </c>
      <c r="H38" s="2" t="s">
        <v>284</v>
      </c>
      <c r="I38" s="2" t="s">
        <v>317</v>
      </c>
      <c r="J38" s="2" t="s">
        <v>318</v>
      </c>
      <c r="K38" s="2" t="s">
        <v>258</v>
      </c>
      <c r="L38" s="2" t="n">
        <v>1</v>
      </c>
      <c r="M38" s="2" t="s">
        <v>29</v>
      </c>
      <c r="N38" s="2"/>
      <c r="O38" s="2" t="s">
        <v>319</v>
      </c>
      <c r="P38" s="2" t="s">
        <v>102</v>
      </c>
      <c r="Q38" s="2" t="s">
        <v>320</v>
      </c>
      <c r="R38" s="2" t="s">
        <v>32</v>
      </c>
    </row>
    <row r="39" customFormat="false" ht="15" hidden="false" customHeight="false" outlineLevel="0" collapsed="false">
      <c r="A39" s="2" t="s">
        <v>321</v>
      </c>
      <c r="B39" s="2" t="s">
        <v>322</v>
      </c>
      <c r="C39" s="2" t="s">
        <v>323</v>
      </c>
      <c r="D39" s="2" t="s">
        <v>107</v>
      </c>
      <c r="E39" s="2" t="s">
        <v>324</v>
      </c>
      <c r="F39" s="2" t="s">
        <v>292</v>
      </c>
      <c r="G39" s="2" t="s">
        <v>283</v>
      </c>
      <c r="H39" s="2" t="s">
        <v>284</v>
      </c>
      <c r="I39" s="2" t="s">
        <v>317</v>
      </c>
      <c r="J39" s="2" t="s">
        <v>325</v>
      </c>
      <c r="K39" s="2" t="s">
        <v>258</v>
      </c>
      <c r="L39" s="2" t="n">
        <v>1</v>
      </c>
      <c r="M39" s="2" t="s">
        <v>29</v>
      </c>
      <c r="N39" s="2"/>
      <c r="O39" s="2" t="s">
        <v>326</v>
      </c>
      <c r="P39" s="2" t="s">
        <v>30</v>
      </c>
      <c r="Q39" s="2" t="s">
        <v>327</v>
      </c>
      <c r="R39" s="2" t="s">
        <v>32</v>
      </c>
    </row>
    <row r="40" customFormat="false" ht="15" hidden="false" customHeight="false" outlineLevel="0" collapsed="false">
      <c r="A40" s="2" t="s">
        <v>328</v>
      </c>
      <c r="B40" s="2" t="s">
        <v>329</v>
      </c>
      <c r="C40" s="2" t="s">
        <v>90</v>
      </c>
      <c r="D40" s="2" t="s">
        <v>107</v>
      </c>
      <c r="E40" s="2" t="s">
        <v>330</v>
      </c>
      <c r="F40" s="2" t="s">
        <v>292</v>
      </c>
      <c r="G40" s="2" t="s">
        <v>283</v>
      </c>
      <c r="H40" s="2" t="s">
        <v>284</v>
      </c>
      <c r="I40" s="2" t="s">
        <v>317</v>
      </c>
      <c r="J40" s="2" t="s">
        <v>331</v>
      </c>
      <c r="K40" s="2" t="s">
        <v>258</v>
      </c>
      <c r="L40" s="2" t="n">
        <v>1</v>
      </c>
      <c r="M40" s="2" t="s">
        <v>29</v>
      </c>
      <c r="N40" s="2"/>
      <c r="O40" s="2" t="s">
        <v>332</v>
      </c>
      <c r="P40" s="2" t="s">
        <v>102</v>
      </c>
      <c r="Q40" s="2" t="s">
        <v>333</v>
      </c>
      <c r="R40" s="2" t="s">
        <v>261</v>
      </c>
    </row>
    <row r="41" customFormat="false" ht="15" hidden="false" customHeight="false" outlineLevel="0" collapsed="false">
      <c r="A41" s="2" t="s">
        <v>334</v>
      </c>
      <c r="B41" s="2" t="s">
        <v>335</v>
      </c>
      <c r="C41" s="2" t="s">
        <v>20</v>
      </c>
      <c r="D41" s="2" t="s">
        <v>21</v>
      </c>
      <c r="E41" s="2" t="s">
        <v>336</v>
      </c>
      <c r="F41" s="2" t="s">
        <v>337</v>
      </c>
      <c r="G41" s="2" t="s">
        <v>55</v>
      </c>
      <c r="H41" s="2" t="s">
        <v>284</v>
      </c>
      <c r="I41" s="2" t="s">
        <v>338</v>
      </c>
      <c r="J41" s="2" t="s">
        <v>339</v>
      </c>
      <c r="K41" s="2" t="s">
        <v>258</v>
      </c>
      <c r="L41" s="2" t="n">
        <v>1</v>
      </c>
      <c r="M41" s="2" t="s">
        <v>29</v>
      </c>
      <c r="N41" s="2"/>
      <c r="O41" s="2" t="s">
        <v>335</v>
      </c>
      <c r="P41" s="2" t="s">
        <v>30</v>
      </c>
      <c r="Q41" s="2" t="s">
        <v>340</v>
      </c>
      <c r="R41" s="2" t="s">
        <v>32</v>
      </c>
    </row>
    <row r="42" customFormat="false" ht="15" hidden="false" customHeight="false" outlineLevel="0" collapsed="false">
      <c r="A42" s="2" t="s">
        <v>341</v>
      </c>
      <c r="B42" s="2" t="s">
        <v>342</v>
      </c>
      <c r="C42" s="2" t="s">
        <v>90</v>
      </c>
      <c r="D42" s="2" t="s">
        <v>107</v>
      </c>
      <c r="E42" s="2" t="s">
        <v>343</v>
      </c>
      <c r="F42" s="2" t="s">
        <v>292</v>
      </c>
      <c r="G42" s="2" t="s">
        <v>283</v>
      </c>
      <c r="H42" s="2" t="s">
        <v>284</v>
      </c>
      <c r="I42" s="2" t="s">
        <v>317</v>
      </c>
      <c r="J42" s="2" t="s">
        <v>344</v>
      </c>
      <c r="K42" s="2" t="s">
        <v>258</v>
      </c>
      <c r="L42" s="2" t="n">
        <v>1</v>
      </c>
      <c r="M42" s="2" t="s">
        <v>29</v>
      </c>
      <c r="N42" s="2"/>
      <c r="O42" s="2" t="s">
        <v>345</v>
      </c>
      <c r="P42" s="2" t="s">
        <v>102</v>
      </c>
      <c r="Q42" s="2" t="s">
        <v>346</v>
      </c>
      <c r="R42" s="2" t="s">
        <v>261</v>
      </c>
    </row>
    <row r="43" customFormat="false" ht="15" hidden="false" customHeight="false" outlineLevel="0" collapsed="false">
      <c r="A43" s="2" t="s">
        <v>347</v>
      </c>
      <c r="B43" s="2" t="s">
        <v>348</v>
      </c>
      <c r="C43" s="2" t="s">
        <v>35</v>
      </c>
      <c r="D43" s="2" t="s">
        <v>107</v>
      </c>
      <c r="E43" s="2" t="s">
        <v>349</v>
      </c>
      <c r="F43" s="2" t="s">
        <v>292</v>
      </c>
      <c r="G43" s="2" t="s">
        <v>283</v>
      </c>
      <c r="H43" s="2" t="s">
        <v>284</v>
      </c>
      <c r="I43" s="2" t="s">
        <v>317</v>
      </c>
      <c r="J43" s="2" t="s">
        <v>350</v>
      </c>
      <c r="K43" s="2" t="s">
        <v>258</v>
      </c>
      <c r="L43" s="2" t="n">
        <v>1</v>
      </c>
      <c r="M43" s="2" t="s">
        <v>268</v>
      </c>
      <c r="N43" s="2"/>
      <c r="O43" s="2" t="s">
        <v>351</v>
      </c>
      <c r="P43" s="2" t="s">
        <v>102</v>
      </c>
      <c r="Q43" s="2" t="s">
        <v>352</v>
      </c>
      <c r="R43" s="2" t="s">
        <v>261</v>
      </c>
    </row>
    <row r="44" customFormat="false" ht="15" hidden="false" customHeight="false" outlineLevel="0" collapsed="false">
      <c r="A44" s="2" t="s">
        <v>353</v>
      </c>
      <c r="B44" s="2" t="s">
        <v>354</v>
      </c>
      <c r="C44" s="2" t="s">
        <v>355</v>
      </c>
      <c r="D44" s="2" t="s">
        <v>107</v>
      </c>
      <c r="E44" s="2" t="s">
        <v>356</v>
      </c>
      <c r="F44" s="2" t="s">
        <v>357</v>
      </c>
      <c r="G44" s="2" t="s">
        <v>283</v>
      </c>
      <c r="H44" s="2" t="s">
        <v>284</v>
      </c>
      <c r="I44" s="2" t="s">
        <v>317</v>
      </c>
      <c r="J44" s="2" t="s">
        <v>358</v>
      </c>
      <c r="K44" s="2" t="s">
        <v>258</v>
      </c>
      <c r="L44" s="2" t="n">
        <v>1</v>
      </c>
      <c r="M44" s="2" t="s">
        <v>268</v>
      </c>
      <c r="N44" s="2"/>
      <c r="O44" s="2" t="s">
        <v>359</v>
      </c>
      <c r="P44" s="2" t="s">
        <v>30</v>
      </c>
      <c r="Q44" s="2" t="s">
        <v>360</v>
      </c>
      <c r="R44" s="2" t="s">
        <v>32</v>
      </c>
    </row>
    <row r="45" customFormat="false" ht="15" hidden="false" customHeight="false" outlineLevel="0" collapsed="false">
      <c r="A45" s="2" t="s">
        <v>361</v>
      </c>
      <c r="B45" s="2" t="s">
        <v>362</v>
      </c>
      <c r="C45" s="2" t="s">
        <v>363</v>
      </c>
      <c r="D45" s="2" t="s">
        <v>107</v>
      </c>
      <c r="E45" s="2" t="s">
        <v>364</v>
      </c>
      <c r="F45" s="2" t="s">
        <v>365</v>
      </c>
      <c r="G45" s="2" t="s">
        <v>283</v>
      </c>
      <c r="H45" s="2" t="s">
        <v>284</v>
      </c>
      <c r="I45" s="2" t="s">
        <v>366</v>
      </c>
      <c r="J45" s="2" t="s">
        <v>367</v>
      </c>
      <c r="K45" s="2" t="s">
        <v>258</v>
      </c>
      <c r="L45" s="2" t="n">
        <v>1</v>
      </c>
      <c r="M45" s="2" t="s">
        <v>268</v>
      </c>
      <c r="N45" s="2"/>
      <c r="O45" s="2" t="s">
        <v>368</v>
      </c>
      <c r="P45" s="2" t="s">
        <v>30</v>
      </c>
      <c r="Q45" s="2" t="s">
        <v>369</v>
      </c>
      <c r="R45" s="2" t="s">
        <v>261</v>
      </c>
    </row>
    <row r="46" customFormat="false" ht="15" hidden="false" customHeight="false" outlineLevel="0" collapsed="false">
      <c r="A46" s="2" t="s">
        <v>370</v>
      </c>
      <c r="B46" s="2" t="s">
        <v>371</v>
      </c>
      <c r="C46" s="2" t="s">
        <v>73</v>
      </c>
      <c r="D46" s="2" t="s">
        <v>107</v>
      </c>
      <c r="E46" s="2" t="s">
        <v>372</v>
      </c>
      <c r="F46" s="2" t="s">
        <v>292</v>
      </c>
      <c r="G46" s="2" t="s">
        <v>283</v>
      </c>
      <c r="H46" s="2" t="s">
        <v>284</v>
      </c>
      <c r="I46" s="2" t="s">
        <v>317</v>
      </c>
      <c r="J46" s="2" t="s">
        <v>373</v>
      </c>
      <c r="K46" s="2" t="s">
        <v>258</v>
      </c>
      <c r="L46" s="2" t="n">
        <v>1</v>
      </c>
      <c r="M46" s="2" t="s">
        <v>268</v>
      </c>
      <c r="N46" s="2"/>
      <c r="O46" s="2" t="s">
        <v>374</v>
      </c>
      <c r="P46" s="2" t="s">
        <v>30</v>
      </c>
      <c r="Q46" s="2" t="s">
        <v>375</v>
      </c>
      <c r="R46" s="2" t="s">
        <v>32</v>
      </c>
    </row>
    <row r="47" customFormat="false" ht="15" hidden="false" customHeight="false" outlineLevel="0" collapsed="false">
      <c r="A47" s="2" t="s">
        <v>376</v>
      </c>
      <c r="B47" s="2" t="s">
        <v>377</v>
      </c>
      <c r="C47" s="2" t="s">
        <v>73</v>
      </c>
      <c r="D47" s="2" t="s">
        <v>107</v>
      </c>
      <c r="E47" s="2" t="s">
        <v>378</v>
      </c>
      <c r="F47" s="2" t="s">
        <v>292</v>
      </c>
      <c r="G47" s="2" t="s">
        <v>283</v>
      </c>
      <c r="H47" s="2" t="s">
        <v>284</v>
      </c>
      <c r="I47" s="2" t="s">
        <v>317</v>
      </c>
      <c r="J47" s="2" t="s">
        <v>379</v>
      </c>
      <c r="K47" s="2" t="s">
        <v>258</v>
      </c>
      <c r="L47" s="2" t="n">
        <v>1</v>
      </c>
      <c r="M47" s="2" t="s">
        <v>268</v>
      </c>
      <c r="N47" s="2"/>
      <c r="O47" s="2" t="s">
        <v>380</v>
      </c>
      <c r="P47" s="2" t="s">
        <v>30</v>
      </c>
      <c r="Q47" s="2" t="s">
        <v>381</v>
      </c>
      <c r="R47" s="2" t="s">
        <v>32</v>
      </c>
    </row>
    <row r="48" customFormat="false" ht="15" hidden="false" customHeight="false" outlineLevel="0" collapsed="false">
      <c r="A48" s="2" t="s">
        <v>382</v>
      </c>
      <c r="B48" s="2" t="s">
        <v>383</v>
      </c>
      <c r="C48" s="2" t="s">
        <v>73</v>
      </c>
      <c r="D48" s="2" t="s">
        <v>107</v>
      </c>
      <c r="E48" s="2" t="s">
        <v>384</v>
      </c>
      <c r="F48" s="2" t="s">
        <v>292</v>
      </c>
      <c r="G48" s="2" t="s">
        <v>283</v>
      </c>
      <c r="H48" s="2" t="s">
        <v>284</v>
      </c>
      <c r="I48" s="2" t="s">
        <v>317</v>
      </c>
      <c r="J48" s="2" t="s">
        <v>385</v>
      </c>
      <c r="K48" s="2" t="s">
        <v>258</v>
      </c>
      <c r="L48" s="2" t="n">
        <v>1</v>
      </c>
      <c r="M48" s="2" t="s">
        <v>268</v>
      </c>
      <c r="N48" s="2"/>
      <c r="O48" s="2" t="s">
        <v>386</v>
      </c>
      <c r="P48" s="2" t="s">
        <v>30</v>
      </c>
      <c r="Q48" s="2" t="s">
        <v>387</v>
      </c>
      <c r="R48" s="2" t="s">
        <v>32</v>
      </c>
    </row>
    <row r="49" customFormat="false" ht="15" hidden="false" customHeight="false" outlineLevel="0" collapsed="false">
      <c r="A49" s="2" t="s">
        <v>388</v>
      </c>
      <c r="B49" s="2" t="s">
        <v>389</v>
      </c>
      <c r="C49" s="2" t="s">
        <v>73</v>
      </c>
      <c r="D49" s="2" t="s">
        <v>107</v>
      </c>
      <c r="E49" s="2" t="s">
        <v>390</v>
      </c>
      <c r="F49" s="2" t="s">
        <v>292</v>
      </c>
      <c r="G49" s="2" t="s">
        <v>283</v>
      </c>
      <c r="H49" s="2" t="s">
        <v>284</v>
      </c>
      <c r="I49" s="2" t="s">
        <v>391</v>
      </c>
      <c r="J49" s="2" t="s">
        <v>392</v>
      </c>
      <c r="K49" s="2" t="s">
        <v>258</v>
      </c>
      <c r="L49" s="2" t="n">
        <v>1</v>
      </c>
      <c r="M49" s="2" t="s">
        <v>29</v>
      </c>
      <c r="N49" s="2"/>
      <c r="O49" s="2" t="s">
        <v>393</v>
      </c>
      <c r="P49" s="2" t="s">
        <v>30</v>
      </c>
      <c r="Q49" s="2" t="s">
        <v>394</v>
      </c>
      <c r="R49" s="2" t="s">
        <v>32</v>
      </c>
    </row>
    <row r="50" customFormat="false" ht="15" hidden="false" customHeight="false" outlineLevel="0" collapsed="false">
      <c r="A50" s="2" t="s">
        <v>395</v>
      </c>
      <c r="B50" s="2" t="s">
        <v>396</v>
      </c>
      <c r="C50" s="2" t="s">
        <v>202</v>
      </c>
      <c r="D50" s="2" t="s">
        <v>107</v>
      </c>
      <c r="E50" s="2" t="s">
        <v>397</v>
      </c>
      <c r="F50" s="2" t="s">
        <v>292</v>
      </c>
      <c r="G50" s="2" t="s">
        <v>283</v>
      </c>
      <c r="H50" s="2" t="s">
        <v>284</v>
      </c>
      <c r="I50" s="2" t="s">
        <v>398</v>
      </c>
      <c r="J50" s="2" t="s">
        <v>344</v>
      </c>
      <c r="K50" s="2" t="s">
        <v>258</v>
      </c>
      <c r="L50" s="2" t="n">
        <v>1</v>
      </c>
      <c r="M50" s="2" t="s">
        <v>268</v>
      </c>
      <c r="N50" s="2"/>
      <c r="O50" s="2" t="s">
        <v>399</v>
      </c>
      <c r="P50" s="2" t="s">
        <v>30</v>
      </c>
      <c r="Q50" s="2" t="s">
        <v>400</v>
      </c>
      <c r="R50" s="2" t="s">
        <v>32</v>
      </c>
    </row>
    <row r="51" customFormat="false" ht="15" hidden="false" customHeight="false" outlineLevel="0" collapsed="false">
      <c r="A51" s="2" t="s">
        <v>401</v>
      </c>
      <c r="B51" s="2" t="s">
        <v>402</v>
      </c>
      <c r="C51" s="2" t="s">
        <v>403</v>
      </c>
      <c r="D51" s="2" t="s">
        <v>107</v>
      </c>
      <c r="E51" s="2" t="s">
        <v>404</v>
      </c>
      <c r="F51" s="2" t="s">
        <v>405</v>
      </c>
      <c r="G51" s="2" t="s">
        <v>283</v>
      </c>
      <c r="H51" s="2" t="s">
        <v>284</v>
      </c>
      <c r="I51" s="2" t="s">
        <v>406</v>
      </c>
      <c r="J51" s="2" t="s">
        <v>407</v>
      </c>
      <c r="K51" s="2" t="s">
        <v>258</v>
      </c>
      <c r="L51" s="2" t="n">
        <v>1</v>
      </c>
      <c r="M51" s="2" t="s">
        <v>187</v>
      </c>
      <c r="N51" s="2"/>
      <c r="O51" s="2" t="s">
        <v>408</v>
      </c>
      <c r="P51" s="2" t="s">
        <v>30</v>
      </c>
      <c r="Q51" s="2" t="s">
        <v>409</v>
      </c>
      <c r="R51" s="2" t="s">
        <v>32</v>
      </c>
    </row>
    <row r="52" customFormat="false" ht="15" hidden="false" customHeight="false" outlineLevel="0" collapsed="false">
      <c r="A52" s="2" t="s">
        <v>410</v>
      </c>
      <c r="B52" s="2" t="s">
        <v>411</v>
      </c>
      <c r="C52" s="2" t="s">
        <v>20</v>
      </c>
      <c r="D52" s="2" t="s">
        <v>107</v>
      </c>
      <c r="E52" s="2" t="s">
        <v>412</v>
      </c>
      <c r="F52" s="2" t="s">
        <v>413</v>
      </c>
      <c r="G52" s="2" t="s">
        <v>283</v>
      </c>
      <c r="H52" s="2" t="s">
        <v>284</v>
      </c>
      <c r="I52" s="2" t="s">
        <v>414</v>
      </c>
      <c r="J52" s="2" t="s">
        <v>415</v>
      </c>
      <c r="K52" s="2" t="s">
        <v>258</v>
      </c>
      <c r="L52" s="2" t="n">
        <v>1</v>
      </c>
      <c r="M52" s="2" t="s">
        <v>29</v>
      </c>
      <c r="N52" s="2"/>
      <c r="O52" s="2" t="s">
        <v>416</v>
      </c>
      <c r="P52" s="2" t="s">
        <v>102</v>
      </c>
      <c r="Q52" s="2" t="s">
        <v>417</v>
      </c>
      <c r="R52" s="2" t="s">
        <v>261</v>
      </c>
    </row>
    <row r="53" customFormat="false" ht="15" hidden="false" customHeight="false" outlineLevel="0" collapsed="false">
      <c r="A53" s="2" t="s">
        <v>418</v>
      </c>
      <c r="B53" s="2" t="s">
        <v>419</v>
      </c>
      <c r="C53" s="2" t="s">
        <v>90</v>
      </c>
      <c r="D53" s="2" t="s">
        <v>107</v>
      </c>
      <c r="E53" s="2" t="s">
        <v>420</v>
      </c>
      <c r="F53" s="2" t="s">
        <v>292</v>
      </c>
      <c r="G53" s="2" t="s">
        <v>283</v>
      </c>
      <c r="H53" s="2" t="s">
        <v>284</v>
      </c>
      <c r="I53" s="2" t="s">
        <v>421</v>
      </c>
      <c r="J53" s="2" t="s">
        <v>422</v>
      </c>
      <c r="K53" s="2" t="s">
        <v>258</v>
      </c>
      <c r="L53" s="2" t="n">
        <v>1</v>
      </c>
      <c r="M53" s="2" t="s">
        <v>268</v>
      </c>
      <c r="N53" s="2"/>
      <c r="O53" s="2" t="s">
        <v>423</v>
      </c>
      <c r="P53" s="2" t="s">
        <v>102</v>
      </c>
      <c r="Q53" s="2" t="s">
        <v>424</v>
      </c>
      <c r="R53" s="2" t="s">
        <v>32</v>
      </c>
    </row>
    <row r="54" customFormat="false" ht="15" hidden="false" customHeight="false" outlineLevel="0" collapsed="false">
      <c r="A54" s="2" t="s">
        <v>425</v>
      </c>
      <c r="B54" s="2" t="s">
        <v>426</v>
      </c>
      <c r="C54" s="2" t="s">
        <v>427</v>
      </c>
      <c r="D54" s="2" t="s">
        <v>107</v>
      </c>
      <c r="E54" s="2" t="s">
        <v>428</v>
      </c>
      <c r="F54" s="2" t="s">
        <v>292</v>
      </c>
      <c r="G54" s="2" t="s">
        <v>283</v>
      </c>
      <c r="H54" s="2" t="s">
        <v>284</v>
      </c>
      <c r="I54" s="2" t="s">
        <v>398</v>
      </c>
      <c r="J54" s="2" t="s">
        <v>344</v>
      </c>
      <c r="K54" s="2" t="s">
        <v>258</v>
      </c>
      <c r="L54" s="2" t="n">
        <v>1</v>
      </c>
      <c r="M54" s="2" t="s">
        <v>268</v>
      </c>
      <c r="N54" s="2"/>
      <c r="O54" s="2" t="s">
        <v>429</v>
      </c>
      <c r="P54" s="2" t="s">
        <v>30</v>
      </c>
      <c r="Q54" s="2" t="s">
        <v>430</v>
      </c>
      <c r="R54" s="2" t="s">
        <v>261</v>
      </c>
    </row>
    <row r="55" customFormat="false" ht="15" hidden="false" customHeight="false" outlineLevel="0" collapsed="false">
      <c r="A55" s="2" t="s">
        <v>431</v>
      </c>
      <c r="B55" s="2" t="s">
        <v>432</v>
      </c>
      <c r="C55" s="2" t="s">
        <v>115</v>
      </c>
      <c r="D55" s="2" t="s">
        <v>107</v>
      </c>
      <c r="E55" s="2" t="s">
        <v>433</v>
      </c>
      <c r="F55" s="2" t="s">
        <v>292</v>
      </c>
      <c r="G55" s="2" t="s">
        <v>283</v>
      </c>
      <c r="H55" s="2" t="s">
        <v>284</v>
      </c>
      <c r="I55" s="2" t="s">
        <v>434</v>
      </c>
      <c r="J55" s="2" t="s">
        <v>435</v>
      </c>
      <c r="K55" s="2" t="s">
        <v>258</v>
      </c>
      <c r="L55" s="2" t="n">
        <v>1</v>
      </c>
      <c r="M55" s="2" t="s">
        <v>268</v>
      </c>
      <c r="N55" s="2"/>
      <c r="O55" s="2" t="s">
        <v>436</v>
      </c>
      <c r="P55" s="2" t="s">
        <v>102</v>
      </c>
      <c r="Q55" s="2" t="s">
        <v>437</v>
      </c>
      <c r="R55" s="2" t="s">
        <v>261</v>
      </c>
    </row>
    <row r="56" customFormat="false" ht="15" hidden="false" customHeight="false" outlineLevel="0" collapsed="false">
      <c r="A56" s="2" t="s">
        <v>438</v>
      </c>
      <c r="B56" s="2" t="s">
        <v>439</v>
      </c>
      <c r="C56" s="2" t="s">
        <v>440</v>
      </c>
      <c r="D56" s="2" t="s">
        <v>107</v>
      </c>
      <c r="E56" s="2" t="s">
        <v>441</v>
      </c>
      <c r="F56" s="2" t="s">
        <v>292</v>
      </c>
      <c r="G56" s="2" t="s">
        <v>283</v>
      </c>
      <c r="H56" s="2" t="s">
        <v>284</v>
      </c>
      <c r="I56" s="2" t="s">
        <v>398</v>
      </c>
      <c r="J56" s="2" t="s">
        <v>344</v>
      </c>
      <c r="K56" s="2" t="s">
        <v>258</v>
      </c>
      <c r="L56" s="2" t="n">
        <v>1</v>
      </c>
      <c r="M56" s="2" t="s">
        <v>268</v>
      </c>
      <c r="N56" s="2"/>
      <c r="O56" s="2" t="s">
        <v>442</v>
      </c>
      <c r="P56" s="2" t="s">
        <v>30</v>
      </c>
      <c r="Q56" s="2" t="s">
        <v>443</v>
      </c>
      <c r="R56" s="2" t="s">
        <v>261</v>
      </c>
    </row>
    <row r="57" customFormat="false" ht="15" hidden="false" customHeight="false" outlineLevel="0" collapsed="false">
      <c r="A57" s="2" t="s">
        <v>444</v>
      </c>
      <c r="B57" s="2" t="s">
        <v>445</v>
      </c>
      <c r="C57" s="2" t="s">
        <v>446</v>
      </c>
      <c r="D57" s="2" t="s">
        <v>107</v>
      </c>
      <c r="E57" s="2" t="s">
        <v>447</v>
      </c>
      <c r="F57" s="2" t="s">
        <v>448</v>
      </c>
      <c r="G57" s="2" t="s">
        <v>283</v>
      </c>
      <c r="H57" s="2" t="s">
        <v>284</v>
      </c>
      <c r="I57" s="2" t="s">
        <v>449</v>
      </c>
      <c r="J57" s="2" t="s">
        <v>450</v>
      </c>
      <c r="K57" s="2" t="s">
        <v>258</v>
      </c>
      <c r="L57" s="2" t="n">
        <v>1</v>
      </c>
      <c r="M57" s="2" t="s">
        <v>29</v>
      </c>
      <c r="N57" s="2"/>
      <c r="O57" s="2" t="s">
        <v>451</v>
      </c>
      <c r="P57" s="2" t="s">
        <v>30</v>
      </c>
      <c r="Q57" s="2" t="s">
        <v>452</v>
      </c>
      <c r="R57" s="2" t="s">
        <v>261</v>
      </c>
    </row>
    <row r="58" customFormat="false" ht="15" hidden="false" customHeight="false" outlineLevel="0" collapsed="false">
      <c r="A58" s="2" t="s">
        <v>453</v>
      </c>
      <c r="B58" s="2" t="s">
        <v>454</v>
      </c>
      <c r="C58" s="2" t="s">
        <v>455</v>
      </c>
      <c r="D58" s="2" t="s">
        <v>107</v>
      </c>
      <c r="E58" s="2" t="s">
        <v>456</v>
      </c>
      <c r="F58" s="2" t="s">
        <v>292</v>
      </c>
      <c r="G58" s="2" t="s">
        <v>283</v>
      </c>
      <c r="H58" s="2" t="s">
        <v>284</v>
      </c>
      <c r="I58" s="2" t="s">
        <v>398</v>
      </c>
      <c r="J58" s="2" t="s">
        <v>457</v>
      </c>
      <c r="K58" s="2" t="s">
        <v>258</v>
      </c>
      <c r="L58" s="2" t="n">
        <v>1</v>
      </c>
      <c r="M58" s="2" t="s">
        <v>268</v>
      </c>
      <c r="N58" s="2"/>
      <c r="O58" s="2" t="s">
        <v>458</v>
      </c>
      <c r="P58" s="2" t="s">
        <v>30</v>
      </c>
      <c r="Q58" s="2" t="s">
        <v>459</v>
      </c>
      <c r="R58" s="2" t="s">
        <v>32</v>
      </c>
    </row>
    <row r="59" customFormat="false" ht="15" hidden="false" customHeight="false" outlineLevel="0" collapsed="false">
      <c r="A59" s="2" t="s">
        <v>460</v>
      </c>
      <c r="B59" s="2" t="s">
        <v>461</v>
      </c>
      <c r="C59" s="2" t="s">
        <v>73</v>
      </c>
      <c r="D59" s="2" t="s">
        <v>107</v>
      </c>
      <c r="E59" s="2" t="s">
        <v>462</v>
      </c>
      <c r="F59" s="2" t="s">
        <v>292</v>
      </c>
      <c r="G59" s="2" t="s">
        <v>283</v>
      </c>
      <c r="H59" s="2" t="s">
        <v>284</v>
      </c>
      <c r="I59" s="2" t="s">
        <v>398</v>
      </c>
      <c r="J59" s="2" t="s">
        <v>344</v>
      </c>
      <c r="K59" s="2" t="s">
        <v>258</v>
      </c>
      <c r="L59" s="2" t="n">
        <v>1</v>
      </c>
      <c r="M59" s="2" t="s">
        <v>268</v>
      </c>
      <c r="N59" s="2"/>
      <c r="O59" s="2" t="s">
        <v>463</v>
      </c>
      <c r="P59" s="2" t="s">
        <v>30</v>
      </c>
      <c r="Q59" s="2" t="s">
        <v>464</v>
      </c>
      <c r="R59" s="2" t="s">
        <v>32</v>
      </c>
    </row>
    <row r="60" customFormat="false" ht="15" hidden="false" customHeight="false" outlineLevel="0" collapsed="false">
      <c r="A60" s="2" t="s">
        <v>465</v>
      </c>
      <c r="B60" s="2" t="s">
        <v>466</v>
      </c>
      <c r="C60" s="2" t="s">
        <v>52</v>
      </c>
      <c r="D60" s="2" t="s">
        <v>107</v>
      </c>
      <c r="E60" s="2" t="s">
        <v>467</v>
      </c>
      <c r="F60" s="2" t="s">
        <v>292</v>
      </c>
      <c r="G60" s="2" t="s">
        <v>283</v>
      </c>
      <c r="H60" s="2" t="s">
        <v>284</v>
      </c>
      <c r="I60" s="2" t="s">
        <v>317</v>
      </c>
      <c r="J60" s="2" t="s">
        <v>468</v>
      </c>
      <c r="K60" s="2" t="s">
        <v>258</v>
      </c>
      <c r="L60" s="2" t="n">
        <v>1</v>
      </c>
      <c r="M60" s="2" t="s">
        <v>268</v>
      </c>
      <c r="N60" s="2"/>
      <c r="O60" s="2" t="s">
        <v>469</v>
      </c>
      <c r="P60" s="2" t="s">
        <v>30</v>
      </c>
      <c r="Q60" s="2" t="s">
        <v>470</v>
      </c>
      <c r="R60" s="2" t="s">
        <v>32</v>
      </c>
    </row>
    <row r="61" customFormat="false" ht="15" hidden="false" customHeight="false" outlineLevel="0" collapsed="false">
      <c r="A61" s="2" t="s">
        <v>471</v>
      </c>
      <c r="B61" s="2" t="s">
        <v>472</v>
      </c>
      <c r="C61" s="2" t="s">
        <v>35</v>
      </c>
      <c r="D61" s="2" t="s">
        <v>107</v>
      </c>
      <c r="E61" s="2" t="s">
        <v>473</v>
      </c>
      <c r="F61" s="2" t="s">
        <v>292</v>
      </c>
      <c r="G61" s="2" t="s">
        <v>283</v>
      </c>
      <c r="H61" s="2" t="s">
        <v>284</v>
      </c>
      <c r="I61" s="2" t="s">
        <v>474</v>
      </c>
      <c r="J61" s="2" t="s">
        <v>385</v>
      </c>
      <c r="K61" s="2" t="s">
        <v>258</v>
      </c>
      <c r="L61" s="2" t="n">
        <v>1</v>
      </c>
      <c r="M61" s="2" t="s">
        <v>29</v>
      </c>
      <c r="N61" s="2"/>
      <c r="O61" s="2" t="s">
        <v>475</v>
      </c>
      <c r="P61" s="2" t="s">
        <v>30</v>
      </c>
      <c r="Q61" s="2" t="s">
        <v>476</v>
      </c>
      <c r="R61" s="2" t="s">
        <v>261</v>
      </c>
    </row>
    <row r="62" customFormat="false" ht="15" hidden="false" customHeight="false" outlineLevel="0" collapsed="false">
      <c r="A62" s="2" t="s">
        <v>477</v>
      </c>
      <c r="B62" s="2" t="s">
        <v>478</v>
      </c>
      <c r="C62" s="2" t="s">
        <v>35</v>
      </c>
      <c r="D62" s="2" t="s">
        <v>107</v>
      </c>
      <c r="E62" s="2" t="s">
        <v>479</v>
      </c>
      <c r="F62" s="2" t="s">
        <v>292</v>
      </c>
      <c r="G62" s="2" t="s">
        <v>283</v>
      </c>
      <c r="H62" s="2" t="s">
        <v>284</v>
      </c>
      <c r="I62" s="2" t="s">
        <v>317</v>
      </c>
      <c r="J62" s="2" t="s">
        <v>331</v>
      </c>
      <c r="K62" s="2" t="s">
        <v>258</v>
      </c>
      <c r="L62" s="2" t="n">
        <v>1</v>
      </c>
      <c r="M62" s="2" t="s">
        <v>268</v>
      </c>
      <c r="N62" s="2"/>
      <c r="O62" s="2" t="s">
        <v>480</v>
      </c>
      <c r="P62" s="2" t="s">
        <v>30</v>
      </c>
      <c r="Q62" s="2" t="s">
        <v>481</v>
      </c>
      <c r="R62" s="2" t="s">
        <v>32</v>
      </c>
    </row>
    <row r="63" customFormat="false" ht="15" hidden="false" customHeight="false" outlineLevel="0" collapsed="false">
      <c r="A63" s="2" t="s">
        <v>482</v>
      </c>
      <c r="B63" s="2" t="s">
        <v>483</v>
      </c>
      <c r="C63" s="2" t="s">
        <v>35</v>
      </c>
      <c r="D63" s="2" t="s">
        <v>107</v>
      </c>
      <c r="E63" s="2" t="s">
        <v>484</v>
      </c>
      <c r="F63" s="2" t="s">
        <v>292</v>
      </c>
      <c r="G63" s="2" t="s">
        <v>283</v>
      </c>
      <c r="H63" s="2" t="s">
        <v>284</v>
      </c>
      <c r="I63" s="2" t="s">
        <v>485</v>
      </c>
      <c r="J63" s="2" t="s">
        <v>486</v>
      </c>
      <c r="K63" s="2" t="s">
        <v>258</v>
      </c>
      <c r="L63" s="2" t="n">
        <v>1</v>
      </c>
      <c r="M63" s="2" t="s">
        <v>268</v>
      </c>
      <c r="N63" s="2"/>
      <c r="O63" s="2" t="s">
        <v>487</v>
      </c>
      <c r="P63" s="2" t="s">
        <v>102</v>
      </c>
      <c r="Q63" s="2" t="s">
        <v>488</v>
      </c>
      <c r="R63" s="2" t="s">
        <v>32</v>
      </c>
    </row>
    <row r="64" customFormat="false" ht="15" hidden="false" customHeight="false" outlineLevel="0" collapsed="false">
      <c r="A64" s="2" t="s">
        <v>489</v>
      </c>
      <c r="B64" s="2" t="s">
        <v>490</v>
      </c>
      <c r="C64" s="2" t="s">
        <v>35</v>
      </c>
      <c r="D64" s="2" t="s">
        <v>107</v>
      </c>
      <c r="E64" s="2" t="s">
        <v>479</v>
      </c>
      <c r="F64" s="2" t="s">
        <v>292</v>
      </c>
      <c r="G64" s="2" t="s">
        <v>283</v>
      </c>
      <c r="H64" s="2" t="s">
        <v>284</v>
      </c>
      <c r="I64" s="2" t="s">
        <v>317</v>
      </c>
      <c r="J64" s="2" t="s">
        <v>344</v>
      </c>
      <c r="K64" s="2" t="s">
        <v>258</v>
      </c>
      <c r="L64" s="2" t="n">
        <v>1</v>
      </c>
      <c r="M64" s="2" t="s">
        <v>268</v>
      </c>
      <c r="N64" s="2"/>
      <c r="O64" s="2" t="s">
        <v>491</v>
      </c>
      <c r="P64" s="2" t="s">
        <v>102</v>
      </c>
      <c r="Q64" s="2" t="s">
        <v>492</v>
      </c>
      <c r="R64" s="2" t="s">
        <v>32</v>
      </c>
    </row>
    <row r="65" customFormat="false" ht="15" hidden="false" customHeight="false" outlineLevel="0" collapsed="false">
      <c r="A65" s="2" t="s">
        <v>493</v>
      </c>
      <c r="B65" s="2" t="s">
        <v>494</v>
      </c>
      <c r="C65" s="2" t="s">
        <v>35</v>
      </c>
      <c r="D65" s="2" t="s">
        <v>107</v>
      </c>
      <c r="E65" s="2" t="s">
        <v>495</v>
      </c>
      <c r="F65" s="2" t="s">
        <v>292</v>
      </c>
      <c r="G65" s="2" t="s">
        <v>283</v>
      </c>
      <c r="H65" s="2" t="s">
        <v>284</v>
      </c>
      <c r="I65" s="2" t="s">
        <v>317</v>
      </c>
      <c r="J65" s="2" t="s">
        <v>496</v>
      </c>
      <c r="K65" s="2" t="s">
        <v>258</v>
      </c>
      <c r="L65" s="2" t="n">
        <v>1</v>
      </c>
      <c r="M65" s="2" t="s">
        <v>268</v>
      </c>
      <c r="N65" s="2"/>
      <c r="O65" s="2" t="s">
        <v>497</v>
      </c>
      <c r="P65" s="2" t="s">
        <v>30</v>
      </c>
      <c r="Q65" s="2" t="s">
        <v>498</v>
      </c>
      <c r="R65" s="2" t="s">
        <v>32</v>
      </c>
    </row>
    <row r="66" customFormat="false" ht="15" hidden="false" customHeight="false" outlineLevel="0" collapsed="false">
      <c r="A66" s="2" t="s">
        <v>499</v>
      </c>
      <c r="B66" s="2" t="s">
        <v>500</v>
      </c>
      <c r="C66" s="2" t="s">
        <v>115</v>
      </c>
      <c r="D66" s="2" t="s">
        <v>107</v>
      </c>
      <c r="E66" s="2" t="s">
        <v>501</v>
      </c>
      <c r="F66" s="2" t="s">
        <v>292</v>
      </c>
      <c r="G66" s="2" t="s">
        <v>283</v>
      </c>
      <c r="H66" s="2" t="s">
        <v>284</v>
      </c>
      <c r="I66" s="2" t="s">
        <v>317</v>
      </c>
      <c r="J66" s="2" t="s">
        <v>331</v>
      </c>
      <c r="K66" s="2" t="s">
        <v>258</v>
      </c>
      <c r="L66" s="2" t="n">
        <v>1</v>
      </c>
      <c r="M66" s="2" t="s">
        <v>268</v>
      </c>
      <c r="N66" s="2"/>
      <c r="O66" s="2" t="s">
        <v>502</v>
      </c>
      <c r="P66" s="2" t="s">
        <v>30</v>
      </c>
      <c r="Q66" s="2" t="s">
        <v>503</v>
      </c>
      <c r="R66" s="2" t="s">
        <v>32</v>
      </c>
    </row>
    <row r="67" customFormat="false" ht="15" hidden="false" customHeight="false" outlineLevel="0" collapsed="false">
      <c r="A67" s="2" t="s">
        <v>504</v>
      </c>
      <c r="B67" s="2" t="s">
        <v>505</v>
      </c>
      <c r="C67" s="2" t="s">
        <v>64</v>
      </c>
      <c r="D67" s="2" t="s">
        <v>107</v>
      </c>
      <c r="E67" s="2" t="s">
        <v>506</v>
      </c>
      <c r="F67" s="2" t="s">
        <v>292</v>
      </c>
      <c r="G67" s="2" t="s">
        <v>283</v>
      </c>
      <c r="H67" s="2" t="s">
        <v>284</v>
      </c>
      <c r="I67" s="2" t="s">
        <v>507</v>
      </c>
      <c r="J67" s="2" t="s">
        <v>508</v>
      </c>
      <c r="K67" s="2" t="s">
        <v>258</v>
      </c>
      <c r="L67" s="2" t="n">
        <v>1</v>
      </c>
      <c r="M67" s="2" t="s">
        <v>268</v>
      </c>
      <c r="N67" s="2"/>
      <c r="O67" s="2" t="s">
        <v>509</v>
      </c>
      <c r="P67" s="2" t="s">
        <v>30</v>
      </c>
      <c r="Q67" s="2" t="s">
        <v>510</v>
      </c>
      <c r="R67" s="2" t="s">
        <v>32</v>
      </c>
    </row>
    <row r="68" customFormat="false" ht="15" hidden="false" customHeight="false" outlineLevel="0" collapsed="false">
      <c r="A68" s="2" t="s">
        <v>511</v>
      </c>
      <c r="B68" s="2" t="s">
        <v>512</v>
      </c>
      <c r="C68" s="2" t="s">
        <v>513</v>
      </c>
      <c r="D68" s="2" t="s">
        <v>107</v>
      </c>
      <c r="E68" s="2" t="s">
        <v>514</v>
      </c>
      <c r="F68" s="2" t="s">
        <v>292</v>
      </c>
      <c r="G68" s="2" t="s">
        <v>283</v>
      </c>
      <c r="H68" s="2" t="s">
        <v>284</v>
      </c>
      <c r="I68" s="2" t="s">
        <v>515</v>
      </c>
      <c r="J68" s="2" t="s">
        <v>516</v>
      </c>
      <c r="K68" s="2" t="s">
        <v>258</v>
      </c>
      <c r="L68" s="2" t="n">
        <v>1</v>
      </c>
      <c r="M68" s="2" t="s">
        <v>268</v>
      </c>
      <c r="N68" s="2"/>
      <c r="O68" s="2" t="s">
        <v>517</v>
      </c>
      <c r="P68" s="2" t="s">
        <v>30</v>
      </c>
      <c r="Q68" s="2" t="s">
        <v>518</v>
      </c>
      <c r="R68" s="2" t="s">
        <v>261</v>
      </c>
    </row>
    <row r="69" customFormat="false" ht="15" hidden="false" customHeight="false" outlineLevel="0" collapsed="false">
      <c r="A69" s="2" t="s">
        <v>519</v>
      </c>
      <c r="B69" s="2" t="s">
        <v>520</v>
      </c>
      <c r="C69" s="2" t="s">
        <v>193</v>
      </c>
      <c r="D69" s="2" t="s">
        <v>107</v>
      </c>
      <c r="E69" s="2" t="s">
        <v>521</v>
      </c>
      <c r="F69" s="2" t="s">
        <v>292</v>
      </c>
      <c r="G69" s="2" t="s">
        <v>283</v>
      </c>
      <c r="H69" s="2" t="s">
        <v>284</v>
      </c>
      <c r="I69" s="2" t="s">
        <v>317</v>
      </c>
      <c r="J69" s="2" t="s">
        <v>344</v>
      </c>
      <c r="K69" s="2" t="s">
        <v>258</v>
      </c>
      <c r="L69" s="2" t="n">
        <v>1</v>
      </c>
      <c r="M69" s="2" t="s">
        <v>268</v>
      </c>
      <c r="N69" s="2"/>
      <c r="O69" s="2" t="s">
        <v>522</v>
      </c>
      <c r="P69" s="2" t="s">
        <v>30</v>
      </c>
      <c r="Q69" s="2" t="s">
        <v>523</v>
      </c>
      <c r="R69" s="2" t="s">
        <v>32</v>
      </c>
    </row>
    <row r="70" customFormat="false" ht="15" hidden="false" customHeight="false" outlineLevel="0" collapsed="false">
      <c r="A70" s="2" t="s">
        <v>524</v>
      </c>
      <c r="B70" s="2" t="s">
        <v>525</v>
      </c>
      <c r="C70" s="2" t="s">
        <v>299</v>
      </c>
      <c r="D70" s="2" t="s">
        <v>107</v>
      </c>
      <c r="E70" s="2" t="s">
        <v>526</v>
      </c>
      <c r="F70" s="2" t="s">
        <v>292</v>
      </c>
      <c r="G70" s="2" t="s">
        <v>283</v>
      </c>
      <c r="H70" s="2" t="s">
        <v>284</v>
      </c>
      <c r="I70" s="2" t="s">
        <v>317</v>
      </c>
      <c r="J70" s="2" t="s">
        <v>344</v>
      </c>
      <c r="K70" s="2" t="s">
        <v>258</v>
      </c>
      <c r="L70" s="2" t="n">
        <v>1</v>
      </c>
      <c r="M70" s="2" t="s">
        <v>268</v>
      </c>
      <c r="N70" s="2"/>
      <c r="O70" s="2" t="s">
        <v>527</v>
      </c>
      <c r="P70" s="2" t="s">
        <v>30</v>
      </c>
      <c r="Q70" s="2" t="s">
        <v>528</v>
      </c>
      <c r="R70" s="2" t="s">
        <v>32</v>
      </c>
    </row>
    <row r="71" customFormat="false" ht="15" hidden="false" customHeight="false" outlineLevel="0" collapsed="false">
      <c r="A71" s="2" t="s">
        <v>529</v>
      </c>
      <c r="B71" s="2" t="s">
        <v>530</v>
      </c>
      <c r="C71" s="2" t="s">
        <v>531</v>
      </c>
      <c r="D71" s="2" t="s">
        <v>532</v>
      </c>
      <c r="E71" s="2" t="s">
        <v>533</v>
      </c>
      <c r="F71" s="2" t="s">
        <v>292</v>
      </c>
      <c r="G71" s="2" t="s">
        <v>283</v>
      </c>
      <c r="H71" s="2" t="s">
        <v>284</v>
      </c>
      <c r="I71" s="2" t="s">
        <v>317</v>
      </c>
      <c r="J71" s="2" t="s">
        <v>331</v>
      </c>
      <c r="K71" s="2" t="s">
        <v>258</v>
      </c>
      <c r="L71" s="2" t="n">
        <v>1</v>
      </c>
      <c r="M71" s="2" t="s">
        <v>268</v>
      </c>
      <c r="N71" s="2"/>
      <c r="O71" s="2" t="s">
        <v>534</v>
      </c>
      <c r="P71" s="2" t="s">
        <v>30</v>
      </c>
      <c r="Q71" s="2" t="s">
        <v>535</v>
      </c>
      <c r="R71" s="2" t="s">
        <v>32</v>
      </c>
    </row>
    <row r="72" customFormat="false" ht="15" hidden="false" customHeight="false" outlineLevel="0" collapsed="false">
      <c r="A72" s="2" t="s">
        <v>536</v>
      </c>
      <c r="B72" s="2" t="s">
        <v>537</v>
      </c>
      <c r="C72" s="2" t="s">
        <v>115</v>
      </c>
      <c r="D72" s="2" t="s">
        <v>107</v>
      </c>
      <c r="E72" s="2" t="s">
        <v>538</v>
      </c>
      <c r="F72" s="2" t="s">
        <v>292</v>
      </c>
      <c r="G72" s="2" t="s">
        <v>283</v>
      </c>
      <c r="H72" s="2" t="s">
        <v>284</v>
      </c>
      <c r="I72" s="2" t="s">
        <v>539</v>
      </c>
      <c r="J72" s="2" t="s">
        <v>508</v>
      </c>
      <c r="K72" s="2" t="s">
        <v>258</v>
      </c>
      <c r="L72" s="2" t="n">
        <v>1</v>
      </c>
      <c r="M72" s="2" t="s">
        <v>268</v>
      </c>
      <c r="N72" s="2"/>
      <c r="O72" s="2" t="s">
        <v>540</v>
      </c>
      <c r="P72" s="2" t="s">
        <v>30</v>
      </c>
      <c r="Q72" s="2" t="s">
        <v>541</v>
      </c>
      <c r="R72" s="2" t="s">
        <v>261</v>
      </c>
    </row>
    <row r="73" customFormat="false" ht="15" hidden="false" customHeight="false" outlineLevel="0" collapsed="false">
      <c r="A73" s="2" t="s">
        <v>542</v>
      </c>
      <c r="B73" s="2" t="s">
        <v>543</v>
      </c>
      <c r="C73" s="2" t="s">
        <v>115</v>
      </c>
      <c r="D73" s="2" t="s">
        <v>107</v>
      </c>
      <c r="E73" s="2" t="s">
        <v>544</v>
      </c>
      <c r="F73" s="2" t="s">
        <v>292</v>
      </c>
      <c r="G73" s="2" t="s">
        <v>283</v>
      </c>
      <c r="H73" s="2" t="s">
        <v>284</v>
      </c>
      <c r="I73" s="2" t="s">
        <v>398</v>
      </c>
      <c r="J73" s="2" t="s">
        <v>344</v>
      </c>
      <c r="K73" s="2" t="s">
        <v>258</v>
      </c>
      <c r="L73" s="2" t="n">
        <v>1</v>
      </c>
      <c r="M73" s="2" t="s">
        <v>268</v>
      </c>
      <c r="N73" s="2"/>
      <c r="O73" s="2" t="s">
        <v>545</v>
      </c>
      <c r="P73" s="2" t="s">
        <v>30</v>
      </c>
      <c r="Q73" s="2" t="s">
        <v>546</v>
      </c>
      <c r="R73" s="2" t="s">
        <v>261</v>
      </c>
    </row>
    <row r="74" customFormat="false" ht="15" hidden="false" customHeight="false" outlineLevel="0" collapsed="false">
      <c r="A74" s="2" t="s">
        <v>547</v>
      </c>
      <c r="B74" s="2" t="s">
        <v>548</v>
      </c>
      <c r="C74" s="2" t="s">
        <v>323</v>
      </c>
      <c r="D74" s="2" t="s">
        <v>107</v>
      </c>
      <c r="E74" s="2" t="s">
        <v>549</v>
      </c>
      <c r="F74" s="2" t="s">
        <v>292</v>
      </c>
      <c r="G74" s="2" t="s">
        <v>283</v>
      </c>
      <c r="H74" s="2" t="s">
        <v>284</v>
      </c>
      <c r="I74" s="2" t="s">
        <v>398</v>
      </c>
      <c r="J74" s="2" t="s">
        <v>550</v>
      </c>
      <c r="K74" s="2" t="s">
        <v>258</v>
      </c>
      <c r="L74" s="2" t="n">
        <v>1</v>
      </c>
      <c r="M74" s="2" t="s">
        <v>268</v>
      </c>
      <c r="N74" s="2"/>
      <c r="O74" s="2" t="s">
        <v>551</v>
      </c>
      <c r="P74" s="2" t="s">
        <v>30</v>
      </c>
      <c r="Q74" s="2" t="s">
        <v>552</v>
      </c>
      <c r="R74" s="2" t="s">
        <v>32</v>
      </c>
    </row>
    <row r="75" customFormat="false" ht="15" hidden="false" customHeight="false" outlineLevel="0" collapsed="false">
      <c r="A75" s="2" t="s">
        <v>553</v>
      </c>
      <c r="B75" s="2" t="s">
        <v>554</v>
      </c>
      <c r="C75" s="2" t="s">
        <v>90</v>
      </c>
      <c r="D75" s="2" t="s">
        <v>107</v>
      </c>
      <c r="E75" s="2" t="s">
        <v>555</v>
      </c>
      <c r="F75" s="2" t="s">
        <v>292</v>
      </c>
      <c r="G75" s="2" t="s">
        <v>283</v>
      </c>
      <c r="H75" s="2" t="s">
        <v>284</v>
      </c>
      <c r="I75" s="2" t="s">
        <v>398</v>
      </c>
      <c r="J75" s="2" t="s">
        <v>556</v>
      </c>
      <c r="K75" s="2" t="s">
        <v>258</v>
      </c>
      <c r="L75" s="2" t="n">
        <v>1</v>
      </c>
      <c r="M75" s="2" t="s">
        <v>268</v>
      </c>
      <c r="N75" s="2"/>
      <c r="O75" s="2" t="s">
        <v>557</v>
      </c>
      <c r="P75" s="2" t="s">
        <v>30</v>
      </c>
      <c r="Q75" s="2" t="s">
        <v>558</v>
      </c>
      <c r="R75" s="2" t="s">
        <v>32</v>
      </c>
    </row>
    <row r="76" customFormat="false" ht="15" hidden="false" customHeight="false" outlineLevel="0" collapsed="false">
      <c r="A76" s="2" t="s">
        <v>559</v>
      </c>
      <c r="B76" s="2" t="s">
        <v>560</v>
      </c>
      <c r="C76" s="2" t="s">
        <v>52</v>
      </c>
      <c r="D76" s="2" t="s">
        <v>107</v>
      </c>
      <c r="E76" s="2" t="s">
        <v>561</v>
      </c>
      <c r="F76" s="2" t="s">
        <v>292</v>
      </c>
      <c r="G76" s="2" t="s">
        <v>283</v>
      </c>
      <c r="H76" s="2" t="s">
        <v>284</v>
      </c>
      <c r="I76" s="2" t="s">
        <v>398</v>
      </c>
      <c r="J76" s="2" t="s">
        <v>331</v>
      </c>
      <c r="K76" s="2" t="s">
        <v>258</v>
      </c>
      <c r="L76" s="2" t="n">
        <v>1</v>
      </c>
      <c r="M76" s="2" t="s">
        <v>268</v>
      </c>
      <c r="N76" s="2"/>
      <c r="O76" s="2" t="s">
        <v>562</v>
      </c>
      <c r="P76" s="2" t="s">
        <v>102</v>
      </c>
      <c r="Q76" s="2" t="s">
        <v>563</v>
      </c>
      <c r="R76" s="2" t="s">
        <v>32</v>
      </c>
    </row>
    <row r="77" customFormat="false" ht="15" hidden="false" customHeight="false" outlineLevel="0" collapsed="false">
      <c r="A77" s="2" t="s">
        <v>564</v>
      </c>
      <c r="B77" s="2" t="s">
        <v>565</v>
      </c>
      <c r="C77" s="2" t="s">
        <v>52</v>
      </c>
      <c r="D77" s="2" t="s">
        <v>107</v>
      </c>
      <c r="E77" s="2" t="s">
        <v>566</v>
      </c>
      <c r="F77" s="2" t="s">
        <v>292</v>
      </c>
      <c r="G77" s="2" t="s">
        <v>283</v>
      </c>
      <c r="H77" s="2" t="s">
        <v>284</v>
      </c>
      <c r="I77" s="2" t="s">
        <v>398</v>
      </c>
      <c r="J77" s="2" t="s">
        <v>331</v>
      </c>
      <c r="K77" s="2" t="s">
        <v>258</v>
      </c>
      <c r="L77" s="2" t="n">
        <v>1</v>
      </c>
      <c r="M77" s="2" t="s">
        <v>268</v>
      </c>
      <c r="N77" s="2"/>
      <c r="O77" s="2" t="s">
        <v>562</v>
      </c>
      <c r="P77" s="2" t="s">
        <v>30</v>
      </c>
      <c r="Q77" s="2" t="s">
        <v>567</v>
      </c>
      <c r="R77" s="2" t="s">
        <v>32</v>
      </c>
    </row>
    <row r="78" customFormat="false" ht="15" hidden="false" customHeight="false" outlineLevel="0" collapsed="false">
      <c r="A78" s="2" t="s">
        <v>568</v>
      </c>
      <c r="B78" s="2" t="s">
        <v>569</v>
      </c>
      <c r="C78" s="2" t="s">
        <v>570</v>
      </c>
      <c r="D78" s="2" t="s">
        <v>107</v>
      </c>
      <c r="E78" s="2" t="s">
        <v>571</v>
      </c>
      <c r="F78" s="2" t="s">
        <v>292</v>
      </c>
      <c r="G78" s="2" t="s">
        <v>283</v>
      </c>
      <c r="H78" s="2" t="s">
        <v>284</v>
      </c>
      <c r="I78" s="2" t="s">
        <v>398</v>
      </c>
      <c r="J78" s="2" t="s">
        <v>385</v>
      </c>
      <c r="K78" s="2" t="s">
        <v>258</v>
      </c>
      <c r="L78" s="2" t="n">
        <v>1</v>
      </c>
      <c r="M78" s="2" t="s">
        <v>268</v>
      </c>
      <c r="N78" s="2"/>
      <c r="O78" s="2" t="s">
        <v>572</v>
      </c>
      <c r="P78" s="2" t="s">
        <v>30</v>
      </c>
      <c r="Q78" s="2" t="s">
        <v>573</v>
      </c>
      <c r="R78" s="2" t="s">
        <v>32</v>
      </c>
    </row>
    <row r="79" customFormat="false" ht="15" hidden="false" customHeight="false" outlineLevel="0" collapsed="false">
      <c r="A79" s="2" t="s">
        <v>574</v>
      </c>
      <c r="B79" s="2" t="s">
        <v>575</v>
      </c>
      <c r="C79" s="2" t="s">
        <v>299</v>
      </c>
      <c r="D79" s="2" t="s">
        <v>107</v>
      </c>
      <c r="E79" s="2" t="s">
        <v>576</v>
      </c>
      <c r="F79" s="2" t="s">
        <v>292</v>
      </c>
      <c r="G79" s="2" t="s">
        <v>283</v>
      </c>
      <c r="H79" s="2" t="s">
        <v>284</v>
      </c>
      <c r="I79" s="2" t="s">
        <v>398</v>
      </c>
      <c r="J79" s="2" t="s">
        <v>577</v>
      </c>
      <c r="K79" s="2" t="s">
        <v>258</v>
      </c>
      <c r="L79" s="2" t="n">
        <v>1</v>
      </c>
      <c r="M79" s="2" t="s">
        <v>268</v>
      </c>
      <c r="N79" s="2"/>
      <c r="O79" s="2" t="s">
        <v>578</v>
      </c>
      <c r="P79" s="2" t="s">
        <v>30</v>
      </c>
      <c r="Q79" s="2" t="s">
        <v>579</v>
      </c>
      <c r="R79" s="2" t="s">
        <v>261</v>
      </c>
    </row>
    <row r="80" customFormat="false" ht="15" hidden="false" customHeight="false" outlineLevel="0" collapsed="false">
      <c r="A80" s="2" t="s">
        <v>580</v>
      </c>
      <c r="B80" s="2" t="s">
        <v>581</v>
      </c>
      <c r="C80" s="2" t="s">
        <v>299</v>
      </c>
      <c r="D80" s="2" t="s">
        <v>107</v>
      </c>
      <c r="E80" s="2" t="s">
        <v>582</v>
      </c>
      <c r="F80" s="2" t="s">
        <v>292</v>
      </c>
      <c r="G80" s="2" t="s">
        <v>283</v>
      </c>
      <c r="H80" s="2" t="s">
        <v>284</v>
      </c>
      <c r="I80" s="2" t="s">
        <v>398</v>
      </c>
      <c r="J80" s="2" t="s">
        <v>331</v>
      </c>
      <c r="K80" s="2" t="s">
        <v>258</v>
      </c>
      <c r="L80" s="2" t="n">
        <v>1</v>
      </c>
      <c r="M80" s="2" t="s">
        <v>268</v>
      </c>
      <c r="N80" s="2"/>
      <c r="O80" s="2" t="s">
        <v>562</v>
      </c>
      <c r="P80" s="2" t="s">
        <v>30</v>
      </c>
      <c r="Q80" s="2" t="s">
        <v>583</v>
      </c>
      <c r="R80" s="2" t="s">
        <v>32</v>
      </c>
    </row>
    <row r="81" customFormat="false" ht="15" hidden="false" customHeight="false" outlineLevel="0" collapsed="false">
      <c r="A81" s="2" t="s">
        <v>584</v>
      </c>
      <c r="B81" s="2" t="s">
        <v>585</v>
      </c>
      <c r="C81" s="2" t="s">
        <v>299</v>
      </c>
      <c r="D81" s="2" t="s">
        <v>107</v>
      </c>
      <c r="E81" s="2" t="s">
        <v>586</v>
      </c>
      <c r="F81" s="2" t="s">
        <v>292</v>
      </c>
      <c r="G81" s="2" t="s">
        <v>283</v>
      </c>
      <c r="H81" s="2" t="s">
        <v>284</v>
      </c>
      <c r="I81" s="2" t="s">
        <v>398</v>
      </c>
      <c r="J81" s="2" t="s">
        <v>587</v>
      </c>
      <c r="K81" s="2" t="s">
        <v>258</v>
      </c>
      <c r="L81" s="2" t="n">
        <v>1</v>
      </c>
      <c r="M81" s="2" t="s">
        <v>268</v>
      </c>
      <c r="N81" s="2"/>
      <c r="O81" s="2" t="s">
        <v>551</v>
      </c>
      <c r="P81" s="2" t="s">
        <v>30</v>
      </c>
      <c r="Q81" s="2" t="s">
        <v>588</v>
      </c>
      <c r="R81" s="2" t="s">
        <v>32</v>
      </c>
    </row>
    <row r="82" customFormat="false" ht="15" hidden="false" customHeight="false" outlineLevel="0" collapsed="false">
      <c r="A82" s="2" t="s">
        <v>589</v>
      </c>
      <c r="B82" s="2" t="s">
        <v>590</v>
      </c>
      <c r="C82" s="2" t="s">
        <v>73</v>
      </c>
      <c r="D82" s="2" t="s">
        <v>107</v>
      </c>
      <c r="E82" s="2" t="s">
        <v>591</v>
      </c>
      <c r="F82" s="2" t="s">
        <v>292</v>
      </c>
      <c r="G82" s="2" t="s">
        <v>283</v>
      </c>
      <c r="H82" s="2" t="s">
        <v>284</v>
      </c>
      <c r="I82" s="2" t="s">
        <v>592</v>
      </c>
      <c r="J82" s="2" t="s">
        <v>593</v>
      </c>
      <c r="K82" s="2" t="s">
        <v>258</v>
      </c>
      <c r="L82" s="2" t="n">
        <v>1</v>
      </c>
      <c r="M82" s="2" t="s">
        <v>268</v>
      </c>
      <c r="N82" s="2"/>
      <c r="O82" s="2" t="s">
        <v>551</v>
      </c>
      <c r="P82" s="2" t="s">
        <v>30</v>
      </c>
      <c r="Q82" s="2" t="s">
        <v>594</v>
      </c>
      <c r="R82" s="2" t="s">
        <v>261</v>
      </c>
    </row>
    <row r="83" customFormat="false" ht="15" hidden="false" customHeight="false" outlineLevel="0" collapsed="false">
      <c r="A83" s="2" t="s">
        <v>595</v>
      </c>
      <c r="B83" s="2" t="s">
        <v>596</v>
      </c>
      <c r="C83" s="2" t="s">
        <v>52</v>
      </c>
      <c r="D83" s="2" t="s">
        <v>107</v>
      </c>
      <c r="E83" s="2" t="s">
        <v>597</v>
      </c>
      <c r="F83" s="2" t="s">
        <v>413</v>
      </c>
      <c r="G83" s="2" t="s">
        <v>283</v>
      </c>
      <c r="H83" s="2" t="s">
        <v>284</v>
      </c>
      <c r="I83" s="2" t="s">
        <v>598</v>
      </c>
      <c r="J83" s="2" t="s">
        <v>599</v>
      </c>
      <c r="K83" s="2" t="s">
        <v>258</v>
      </c>
      <c r="L83" s="2" t="n">
        <v>1</v>
      </c>
      <c r="M83" s="2" t="s">
        <v>29</v>
      </c>
      <c r="N83" s="2"/>
      <c r="O83" s="2" t="s">
        <v>600</v>
      </c>
      <c r="P83" s="2" t="s">
        <v>30</v>
      </c>
      <c r="Q83" s="2" t="s">
        <v>601</v>
      </c>
      <c r="R83" s="2" t="s">
        <v>32</v>
      </c>
    </row>
    <row r="84" customFormat="false" ht="15" hidden="false" customHeight="false" outlineLevel="0" collapsed="false">
      <c r="A84" s="2" t="s">
        <v>602</v>
      </c>
      <c r="B84" s="2" t="s">
        <v>603</v>
      </c>
      <c r="C84" s="2" t="s">
        <v>106</v>
      </c>
      <c r="D84" s="2" t="s">
        <v>107</v>
      </c>
      <c r="E84" s="2" t="s">
        <v>604</v>
      </c>
      <c r="F84" s="2" t="s">
        <v>253</v>
      </c>
      <c r="G84" s="2" t="s">
        <v>283</v>
      </c>
      <c r="H84" s="2" t="s">
        <v>284</v>
      </c>
      <c r="I84" s="2" t="s">
        <v>605</v>
      </c>
      <c r="J84" s="2" t="s">
        <v>27</v>
      </c>
      <c r="K84" s="2" t="s">
        <v>258</v>
      </c>
      <c r="L84" s="2" t="n">
        <v>1</v>
      </c>
      <c r="M84" s="2" t="s">
        <v>268</v>
      </c>
      <c r="N84" s="2"/>
      <c r="O84" s="2" t="s">
        <v>606</v>
      </c>
      <c r="P84" s="2" t="s">
        <v>30</v>
      </c>
      <c r="Q84" s="2" t="s">
        <v>607</v>
      </c>
      <c r="R84" s="2" t="s">
        <v>32</v>
      </c>
    </row>
    <row r="85" customFormat="false" ht="15" hidden="false" customHeight="false" outlineLevel="0" collapsed="false">
      <c r="A85" s="2" t="s">
        <v>608</v>
      </c>
      <c r="B85" s="2" t="s">
        <v>389</v>
      </c>
      <c r="C85" s="2" t="s">
        <v>73</v>
      </c>
      <c r="D85" s="2" t="s">
        <v>107</v>
      </c>
      <c r="E85" s="2" t="s">
        <v>609</v>
      </c>
      <c r="F85" s="2" t="s">
        <v>253</v>
      </c>
      <c r="G85" s="2" t="s">
        <v>283</v>
      </c>
      <c r="H85" s="2" t="s">
        <v>284</v>
      </c>
      <c r="I85" s="2" t="s">
        <v>610</v>
      </c>
      <c r="J85" s="2" t="s">
        <v>257</v>
      </c>
      <c r="K85" s="2" t="s">
        <v>258</v>
      </c>
      <c r="L85" s="2" t="n">
        <v>1</v>
      </c>
      <c r="M85" s="2" t="s">
        <v>268</v>
      </c>
      <c r="N85" s="2"/>
      <c r="O85" s="2" t="s">
        <v>611</v>
      </c>
      <c r="P85" s="2" t="s">
        <v>30</v>
      </c>
      <c r="Q85" s="2" t="s">
        <v>612</v>
      </c>
      <c r="R85" s="2" t="s">
        <v>261</v>
      </c>
    </row>
    <row r="86" customFormat="false" ht="15" hidden="false" customHeight="false" outlineLevel="0" collapsed="false">
      <c r="A86" s="2" t="s">
        <v>613</v>
      </c>
      <c r="B86" s="2" t="s">
        <v>614</v>
      </c>
      <c r="C86" s="2" t="s">
        <v>106</v>
      </c>
      <c r="D86" s="2" t="s">
        <v>107</v>
      </c>
      <c r="E86" s="2" t="s">
        <v>615</v>
      </c>
      <c r="F86" s="2" t="s">
        <v>616</v>
      </c>
      <c r="G86" s="2" t="s">
        <v>283</v>
      </c>
      <c r="H86" s="2" t="s">
        <v>284</v>
      </c>
      <c r="I86" s="2" t="s">
        <v>617</v>
      </c>
      <c r="J86" s="2" t="s">
        <v>618</v>
      </c>
      <c r="K86" s="2" t="s">
        <v>258</v>
      </c>
      <c r="L86" s="2" t="n">
        <v>1</v>
      </c>
      <c r="M86" s="2" t="s">
        <v>29</v>
      </c>
      <c r="N86" s="2"/>
      <c r="O86" s="2" t="s">
        <v>619</v>
      </c>
      <c r="P86" s="2" t="s">
        <v>30</v>
      </c>
      <c r="Q86" s="2" t="s">
        <v>620</v>
      </c>
      <c r="R86" s="2" t="s">
        <v>32</v>
      </c>
    </row>
    <row r="87" customFormat="false" ht="15" hidden="false" customHeight="false" outlineLevel="0" collapsed="false">
      <c r="A87" s="2" t="s">
        <v>621</v>
      </c>
      <c r="B87" s="2" t="s">
        <v>622</v>
      </c>
      <c r="C87" s="2" t="s">
        <v>623</v>
      </c>
      <c r="D87" s="2" t="s">
        <v>107</v>
      </c>
      <c r="E87" s="2" t="s">
        <v>624</v>
      </c>
      <c r="F87" s="2" t="s">
        <v>253</v>
      </c>
      <c r="G87" s="2" t="s">
        <v>283</v>
      </c>
      <c r="H87" s="2" t="s">
        <v>284</v>
      </c>
      <c r="I87" s="2" t="s">
        <v>625</v>
      </c>
      <c r="J87" s="2" t="s">
        <v>339</v>
      </c>
      <c r="K87" s="2" t="s">
        <v>258</v>
      </c>
      <c r="L87" s="2" t="n">
        <v>1</v>
      </c>
      <c r="M87" s="2" t="s">
        <v>29</v>
      </c>
      <c r="N87" s="2"/>
      <c r="O87" s="2" t="s">
        <v>619</v>
      </c>
      <c r="P87" s="2" t="s">
        <v>30</v>
      </c>
      <c r="Q87" s="2" t="s">
        <v>626</v>
      </c>
      <c r="R87" s="2" t="s">
        <v>261</v>
      </c>
    </row>
    <row r="88" customFormat="false" ht="15" hidden="false" customHeight="false" outlineLevel="0" collapsed="false">
      <c r="A88" s="2" t="s">
        <v>627</v>
      </c>
      <c r="B88" s="2" t="s">
        <v>628</v>
      </c>
      <c r="C88" s="2" t="s">
        <v>52</v>
      </c>
      <c r="D88" s="2" t="s">
        <v>107</v>
      </c>
      <c r="E88" s="2" t="s">
        <v>629</v>
      </c>
      <c r="F88" s="2" t="s">
        <v>253</v>
      </c>
      <c r="G88" s="2" t="s">
        <v>283</v>
      </c>
      <c r="H88" s="2" t="s">
        <v>284</v>
      </c>
      <c r="I88" s="2" t="s">
        <v>630</v>
      </c>
      <c r="J88" s="2" t="s">
        <v>257</v>
      </c>
      <c r="K88" s="2" t="s">
        <v>258</v>
      </c>
      <c r="L88" s="2" t="n">
        <v>1</v>
      </c>
      <c r="M88" s="2" t="s">
        <v>29</v>
      </c>
      <c r="N88" s="2"/>
      <c r="O88" s="2" t="s">
        <v>631</v>
      </c>
      <c r="P88" s="2" t="s">
        <v>30</v>
      </c>
      <c r="Q88" s="2" t="s">
        <v>632</v>
      </c>
      <c r="R88" s="2" t="s">
        <v>261</v>
      </c>
    </row>
    <row r="89" customFormat="false" ht="15" hidden="false" customHeight="false" outlineLevel="0" collapsed="false">
      <c r="A89" s="2" t="s">
        <v>633</v>
      </c>
      <c r="B89" s="2" t="s">
        <v>634</v>
      </c>
      <c r="C89" s="2" t="s">
        <v>20</v>
      </c>
      <c r="D89" s="2" t="s">
        <v>107</v>
      </c>
      <c r="E89" s="2" t="s">
        <v>635</v>
      </c>
      <c r="F89" s="2" t="s">
        <v>253</v>
      </c>
      <c r="G89" s="2" t="s">
        <v>283</v>
      </c>
      <c r="H89" s="2" t="s">
        <v>284</v>
      </c>
      <c r="I89" s="2" t="s">
        <v>636</v>
      </c>
      <c r="J89" s="2" t="s">
        <v>392</v>
      </c>
      <c r="K89" s="2" t="s">
        <v>258</v>
      </c>
      <c r="L89" s="2" t="n">
        <v>1</v>
      </c>
      <c r="M89" s="2" t="s">
        <v>29</v>
      </c>
      <c r="N89" s="2"/>
      <c r="O89" s="2" t="s">
        <v>619</v>
      </c>
      <c r="P89" s="2" t="s">
        <v>30</v>
      </c>
      <c r="Q89" s="2" t="s">
        <v>637</v>
      </c>
      <c r="R89" s="2" t="s">
        <v>32</v>
      </c>
    </row>
    <row r="90" customFormat="false" ht="15" hidden="false" customHeight="false" outlineLevel="0" collapsed="false">
      <c r="A90" s="2" t="s">
        <v>638</v>
      </c>
      <c r="B90" s="2" t="s">
        <v>639</v>
      </c>
      <c r="C90" s="2" t="s">
        <v>640</v>
      </c>
      <c r="D90" s="2" t="s">
        <v>44</v>
      </c>
      <c r="E90" s="2" t="s">
        <v>641</v>
      </c>
      <c r="F90" s="2" t="s">
        <v>642</v>
      </c>
      <c r="G90" s="2" t="s">
        <v>55</v>
      </c>
      <c r="H90" s="2" t="s">
        <v>643</v>
      </c>
      <c r="I90" s="2" t="s">
        <v>644</v>
      </c>
      <c r="J90" s="2" t="s">
        <v>645</v>
      </c>
      <c r="K90" s="2" t="s">
        <v>28</v>
      </c>
      <c r="L90" s="2" t="n">
        <v>2</v>
      </c>
      <c r="M90" s="2" t="s">
        <v>268</v>
      </c>
      <c r="N90" s="2"/>
      <c r="O90" s="2" t="s">
        <v>646</v>
      </c>
      <c r="P90" s="2" t="s">
        <v>102</v>
      </c>
      <c r="Q90" s="2" t="s">
        <v>647</v>
      </c>
      <c r="R90" s="2" t="s">
        <v>261</v>
      </c>
    </row>
    <row r="91" customFormat="false" ht="15" hidden="false" customHeight="false" outlineLevel="0" collapsed="false">
      <c r="A91" s="2" t="s">
        <v>648</v>
      </c>
      <c r="B91" s="2" t="s">
        <v>649</v>
      </c>
      <c r="C91" s="2" t="s">
        <v>640</v>
      </c>
      <c r="D91" s="2" t="s">
        <v>44</v>
      </c>
      <c r="E91" s="2" t="s">
        <v>650</v>
      </c>
      <c r="F91" s="2" t="s">
        <v>651</v>
      </c>
      <c r="G91" s="2" t="s">
        <v>55</v>
      </c>
      <c r="H91" s="2" t="s">
        <v>643</v>
      </c>
      <c r="I91" s="2" t="s">
        <v>644</v>
      </c>
      <c r="J91" s="2" t="s">
        <v>652</v>
      </c>
      <c r="K91" s="2" t="s">
        <v>28</v>
      </c>
      <c r="L91" s="2" t="n">
        <v>2</v>
      </c>
      <c r="M91" s="2" t="s">
        <v>268</v>
      </c>
      <c r="N91" s="2"/>
      <c r="O91" s="2" t="s">
        <v>653</v>
      </c>
      <c r="P91" s="2" t="s">
        <v>102</v>
      </c>
      <c r="Q91" s="2" t="s">
        <v>654</v>
      </c>
      <c r="R91" s="2" t="s">
        <v>261</v>
      </c>
    </row>
    <row r="92" customFormat="false" ht="15" hidden="false" customHeight="false" outlineLevel="0" collapsed="false">
      <c r="A92" s="2" t="s">
        <v>655</v>
      </c>
      <c r="B92" s="2" t="s">
        <v>656</v>
      </c>
      <c r="C92" s="2" t="s">
        <v>640</v>
      </c>
      <c r="D92" s="2" t="s">
        <v>21</v>
      </c>
      <c r="E92" s="2" t="s">
        <v>657</v>
      </c>
      <c r="F92" s="2" t="s">
        <v>658</v>
      </c>
      <c r="G92" s="2" t="s">
        <v>55</v>
      </c>
      <c r="H92" s="2" t="s">
        <v>643</v>
      </c>
      <c r="I92" s="2" t="s">
        <v>644</v>
      </c>
      <c r="J92" s="2" t="s">
        <v>166</v>
      </c>
      <c r="K92" s="2" t="s">
        <v>28</v>
      </c>
      <c r="L92" s="2" t="n">
        <v>2</v>
      </c>
      <c r="M92" s="2" t="s">
        <v>29</v>
      </c>
      <c r="N92" s="2"/>
      <c r="O92" s="2" t="s">
        <v>659</v>
      </c>
      <c r="P92" s="2" t="s">
        <v>102</v>
      </c>
      <c r="Q92" s="2" t="s">
        <v>660</v>
      </c>
      <c r="R92" s="2" t="s">
        <v>261</v>
      </c>
    </row>
    <row r="93" customFormat="false" ht="15" hidden="false" customHeight="false" outlineLevel="0" collapsed="false">
      <c r="A93" s="2" t="s">
        <v>661</v>
      </c>
      <c r="B93" s="2" t="s">
        <v>662</v>
      </c>
      <c r="C93" s="2" t="s">
        <v>640</v>
      </c>
      <c r="D93" s="2" t="s">
        <v>21</v>
      </c>
      <c r="E93" s="2" t="s">
        <v>663</v>
      </c>
      <c r="F93" s="2" t="s">
        <v>658</v>
      </c>
      <c r="G93" s="2" t="s">
        <v>55</v>
      </c>
      <c r="H93" s="2" t="s">
        <v>643</v>
      </c>
      <c r="I93" s="2" t="s">
        <v>644</v>
      </c>
      <c r="J93" s="2" t="s">
        <v>166</v>
      </c>
      <c r="K93" s="2" t="s">
        <v>28</v>
      </c>
      <c r="L93" s="2" t="n">
        <v>2</v>
      </c>
      <c r="M93" s="2" t="s">
        <v>29</v>
      </c>
      <c r="N93" s="2"/>
      <c r="O93" s="2" t="s">
        <v>664</v>
      </c>
      <c r="P93" s="2" t="s">
        <v>102</v>
      </c>
      <c r="Q93" s="2" t="s">
        <v>665</v>
      </c>
      <c r="R93" s="2" t="s">
        <v>261</v>
      </c>
    </row>
    <row r="94" customFormat="false" ht="15" hidden="false" customHeight="false" outlineLevel="0" collapsed="false">
      <c r="A94" s="2" t="s">
        <v>666</v>
      </c>
      <c r="B94" s="2" t="s">
        <v>667</v>
      </c>
      <c r="C94" s="2" t="s">
        <v>640</v>
      </c>
      <c r="D94" s="2" t="s">
        <v>21</v>
      </c>
      <c r="E94" s="2" t="s">
        <v>668</v>
      </c>
      <c r="F94" s="2" t="s">
        <v>669</v>
      </c>
      <c r="G94" s="2" t="s">
        <v>55</v>
      </c>
      <c r="H94" s="2" t="s">
        <v>643</v>
      </c>
      <c r="I94" s="2" t="s">
        <v>644</v>
      </c>
      <c r="J94" s="2" t="s">
        <v>670</v>
      </c>
      <c r="K94" s="2" t="s">
        <v>58</v>
      </c>
      <c r="L94" s="2" t="n">
        <v>3</v>
      </c>
      <c r="M94" s="2" t="s">
        <v>29</v>
      </c>
      <c r="N94" s="2"/>
      <c r="O94" s="2" t="s">
        <v>671</v>
      </c>
      <c r="P94" s="2" t="s">
        <v>102</v>
      </c>
      <c r="Q94" s="2" t="s">
        <v>672</v>
      </c>
      <c r="R94" s="2" t="s">
        <v>261</v>
      </c>
    </row>
    <row r="95" customFormat="false" ht="15" hidden="false" customHeight="false" outlineLevel="0" collapsed="false">
      <c r="A95" s="2" t="s">
        <v>673</v>
      </c>
      <c r="B95" s="2" t="s">
        <v>674</v>
      </c>
      <c r="C95" s="2" t="s">
        <v>640</v>
      </c>
      <c r="D95" s="2" t="s">
        <v>21</v>
      </c>
      <c r="E95" s="2" t="s">
        <v>675</v>
      </c>
      <c r="F95" s="2" t="s">
        <v>676</v>
      </c>
      <c r="G95" s="2" t="s">
        <v>55</v>
      </c>
      <c r="H95" s="2" t="s">
        <v>643</v>
      </c>
      <c r="I95" s="2" t="s">
        <v>644</v>
      </c>
      <c r="J95" s="2" t="s">
        <v>677</v>
      </c>
      <c r="K95" s="2" t="s">
        <v>58</v>
      </c>
      <c r="L95" s="2" t="n">
        <v>3</v>
      </c>
      <c r="M95" s="2" t="s">
        <v>29</v>
      </c>
      <c r="N95" s="2"/>
      <c r="O95" s="2" t="s">
        <v>678</v>
      </c>
      <c r="P95" s="2" t="s">
        <v>102</v>
      </c>
      <c r="Q95" s="2" t="s">
        <v>679</v>
      </c>
      <c r="R95" s="2" t="s">
        <v>261</v>
      </c>
    </row>
    <row r="96" customFormat="false" ht="15" hidden="false" customHeight="false" outlineLevel="0" collapsed="false">
      <c r="A96" s="2" t="s">
        <v>680</v>
      </c>
      <c r="B96" s="2" t="s">
        <v>681</v>
      </c>
      <c r="C96" s="2" t="s">
        <v>640</v>
      </c>
      <c r="D96" s="2" t="s">
        <v>21</v>
      </c>
      <c r="E96" s="2" t="s">
        <v>682</v>
      </c>
      <c r="F96" s="2" t="s">
        <v>683</v>
      </c>
      <c r="G96" s="2" t="s">
        <v>55</v>
      </c>
      <c r="H96" s="2" t="s">
        <v>643</v>
      </c>
      <c r="I96" s="2" t="s">
        <v>644</v>
      </c>
      <c r="J96" s="2" t="s">
        <v>166</v>
      </c>
      <c r="K96" s="2" t="s">
        <v>58</v>
      </c>
      <c r="L96" s="2" t="n">
        <v>3</v>
      </c>
      <c r="M96" s="2" t="s">
        <v>29</v>
      </c>
      <c r="N96" s="2"/>
      <c r="O96" s="2" t="s">
        <v>684</v>
      </c>
      <c r="P96" s="2" t="s">
        <v>102</v>
      </c>
      <c r="Q96" s="2" t="s">
        <v>685</v>
      </c>
      <c r="R96" s="2" t="s">
        <v>261</v>
      </c>
    </row>
    <row r="97" customFormat="false" ht="15" hidden="false" customHeight="false" outlineLevel="0" collapsed="false">
      <c r="A97" s="2" t="s">
        <v>686</v>
      </c>
      <c r="B97" s="2" t="s">
        <v>687</v>
      </c>
      <c r="C97" s="2" t="s">
        <v>640</v>
      </c>
      <c r="D97" s="2" t="s">
        <v>44</v>
      </c>
      <c r="E97" s="2" t="s">
        <v>688</v>
      </c>
      <c r="F97" s="2" t="s">
        <v>689</v>
      </c>
      <c r="G97" s="2" t="s">
        <v>55</v>
      </c>
      <c r="H97" s="2" t="s">
        <v>643</v>
      </c>
      <c r="I97" s="2" t="s">
        <v>644</v>
      </c>
      <c r="J97" s="2" t="s">
        <v>690</v>
      </c>
      <c r="K97" s="2" t="s">
        <v>58</v>
      </c>
      <c r="L97" s="2" t="n">
        <v>3</v>
      </c>
      <c r="M97" s="2" t="s">
        <v>29</v>
      </c>
      <c r="N97" s="2"/>
      <c r="O97" s="2" t="s">
        <v>691</v>
      </c>
      <c r="P97" s="2" t="s">
        <v>102</v>
      </c>
      <c r="Q97" s="2" t="s">
        <v>692</v>
      </c>
      <c r="R97" s="2" t="s">
        <v>261</v>
      </c>
    </row>
    <row r="98" customFormat="false" ht="15" hidden="false" customHeight="false" outlineLevel="0" collapsed="false">
      <c r="A98" s="2" t="s">
        <v>693</v>
      </c>
      <c r="B98" s="2" t="s">
        <v>694</v>
      </c>
      <c r="C98" s="2" t="s">
        <v>20</v>
      </c>
      <c r="D98" s="2" t="s">
        <v>107</v>
      </c>
      <c r="E98" s="2" t="s">
        <v>695</v>
      </c>
      <c r="F98" s="2" t="s">
        <v>696</v>
      </c>
      <c r="G98" s="2" t="s">
        <v>308</v>
      </c>
      <c r="H98" s="2" t="s">
        <v>643</v>
      </c>
      <c r="I98" s="2" t="s">
        <v>644</v>
      </c>
      <c r="J98" s="2" t="s">
        <v>166</v>
      </c>
      <c r="K98" s="2" t="s">
        <v>58</v>
      </c>
      <c r="L98" s="2" t="n">
        <v>3</v>
      </c>
      <c r="M98" s="2" t="s">
        <v>29</v>
      </c>
      <c r="N98" s="2"/>
      <c r="O98" s="2" t="s">
        <v>694</v>
      </c>
      <c r="P98" s="2" t="s">
        <v>102</v>
      </c>
      <c r="Q98" s="2" t="s">
        <v>697</v>
      </c>
      <c r="R98" s="2" t="s">
        <v>261</v>
      </c>
    </row>
    <row r="99" customFormat="false" ht="15" hidden="false" customHeight="false" outlineLevel="0" collapsed="false">
      <c r="A99" s="2" t="s">
        <v>698</v>
      </c>
      <c r="B99" s="2" t="s">
        <v>699</v>
      </c>
      <c r="C99" s="2" t="s">
        <v>202</v>
      </c>
      <c r="D99" s="2" t="s">
        <v>107</v>
      </c>
      <c r="E99" s="2" t="s">
        <v>700</v>
      </c>
      <c r="F99" s="2" t="s">
        <v>701</v>
      </c>
      <c r="G99" s="2" t="s">
        <v>254</v>
      </c>
      <c r="H99" s="2" t="s">
        <v>643</v>
      </c>
      <c r="I99" s="2" t="s">
        <v>644</v>
      </c>
      <c r="J99" s="2" t="s">
        <v>702</v>
      </c>
      <c r="K99" s="2" t="s">
        <v>28</v>
      </c>
      <c r="L99" s="2" t="n">
        <v>2</v>
      </c>
      <c r="M99" s="2" t="s">
        <v>29</v>
      </c>
      <c r="N99" s="2"/>
      <c r="O99" s="2" t="s">
        <v>699</v>
      </c>
      <c r="P99" s="2" t="s">
        <v>102</v>
      </c>
      <c r="Q99" s="2" t="s">
        <v>703</v>
      </c>
      <c r="R99" s="2" t="s">
        <v>261</v>
      </c>
    </row>
    <row r="100" customFormat="false" ht="15" hidden="false" customHeight="false" outlineLevel="0" collapsed="false">
      <c r="A100" s="2" t="s">
        <v>704</v>
      </c>
      <c r="B100" s="2" t="s">
        <v>426</v>
      </c>
      <c r="C100" s="2" t="s">
        <v>427</v>
      </c>
      <c r="D100" s="2" t="s">
        <v>107</v>
      </c>
      <c r="E100" s="2" t="s">
        <v>705</v>
      </c>
      <c r="F100" s="2" t="s">
        <v>706</v>
      </c>
      <c r="G100" s="2" t="s">
        <v>254</v>
      </c>
      <c r="H100" s="2" t="s">
        <v>643</v>
      </c>
      <c r="I100" s="2" t="s">
        <v>644</v>
      </c>
      <c r="J100" s="2" t="s">
        <v>166</v>
      </c>
      <c r="K100" s="2" t="s">
        <v>58</v>
      </c>
      <c r="L100" s="2" t="n">
        <v>3</v>
      </c>
      <c r="M100" s="2" t="s">
        <v>29</v>
      </c>
      <c r="N100" s="2"/>
      <c r="O100" s="2" t="s">
        <v>426</v>
      </c>
      <c r="P100" s="2" t="s">
        <v>102</v>
      </c>
      <c r="Q100" s="2" t="s">
        <v>707</v>
      </c>
      <c r="R100" s="2" t="s">
        <v>261</v>
      </c>
    </row>
    <row r="101" customFormat="false" ht="15" hidden="false" customHeight="false" outlineLevel="0" collapsed="false">
      <c r="A101" s="2" t="s">
        <v>708</v>
      </c>
      <c r="B101" s="2" t="s">
        <v>581</v>
      </c>
      <c r="C101" s="2" t="s">
        <v>299</v>
      </c>
      <c r="D101" s="2" t="s">
        <v>107</v>
      </c>
      <c r="E101" s="2" t="s">
        <v>709</v>
      </c>
      <c r="F101" s="2" t="s">
        <v>710</v>
      </c>
      <c r="G101" s="2" t="s">
        <v>308</v>
      </c>
      <c r="H101" s="2" t="s">
        <v>643</v>
      </c>
      <c r="I101" s="2" t="s">
        <v>644</v>
      </c>
      <c r="J101" s="2" t="s">
        <v>711</v>
      </c>
      <c r="K101" s="2" t="s">
        <v>58</v>
      </c>
      <c r="L101" s="2" t="n">
        <v>3</v>
      </c>
      <c r="M101" s="2" t="s">
        <v>29</v>
      </c>
      <c r="N101" s="2"/>
      <c r="O101" s="2" t="s">
        <v>581</v>
      </c>
      <c r="P101" s="2" t="s">
        <v>30</v>
      </c>
      <c r="Q101" s="2" t="s">
        <v>712</v>
      </c>
      <c r="R101" s="2" t="s">
        <v>261</v>
      </c>
    </row>
    <row r="102" customFormat="false" ht="15" hidden="false" customHeight="false" outlineLevel="0" collapsed="false">
      <c r="A102" s="2" t="s">
        <v>713</v>
      </c>
      <c r="B102" s="2" t="s">
        <v>411</v>
      </c>
      <c r="C102" s="2" t="s">
        <v>20</v>
      </c>
      <c r="D102" s="2" t="s">
        <v>107</v>
      </c>
      <c r="E102" s="2" t="s">
        <v>714</v>
      </c>
      <c r="F102" s="2" t="s">
        <v>715</v>
      </c>
      <c r="G102" s="2" t="s">
        <v>716</v>
      </c>
      <c r="H102" s="2" t="s">
        <v>643</v>
      </c>
      <c r="I102" s="2" t="s">
        <v>644</v>
      </c>
      <c r="J102" s="2" t="s">
        <v>717</v>
      </c>
      <c r="K102" s="2" t="s">
        <v>28</v>
      </c>
      <c r="L102" s="2" t="n">
        <v>2</v>
      </c>
      <c r="M102" s="2" t="s">
        <v>29</v>
      </c>
      <c r="N102" s="2"/>
      <c r="O102" s="2" t="s">
        <v>718</v>
      </c>
      <c r="P102" s="2" t="s">
        <v>102</v>
      </c>
      <c r="Q102" s="2" t="s">
        <v>719</v>
      </c>
      <c r="R102" s="2" t="s">
        <v>261</v>
      </c>
    </row>
    <row r="103" customFormat="false" ht="15" hidden="false" customHeight="false" outlineLevel="0" collapsed="false">
      <c r="A103" s="2" t="s">
        <v>720</v>
      </c>
      <c r="B103" s="2" t="s">
        <v>721</v>
      </c>
      <c r="C103" s="2" t="s">
        <v>20</v>
      </c>
      <c r="D103" s="2" t="s">
        <v>107</v>
      </c>
      <c r="E103" s="2" t="s">
        <v>722</v>
      </c>
      <c r="F103" s="2" t="s">
        <v>723</v>
      </c>
      <c r="G103" s="2" t="s">
        <v>254</v>
      </c>
      <c r="H103" s="2" t="s">
        <v>643</v>
      </c>
      <c r="I103" s="2" t="s">
        <v>724</v>
      </c>
      <c r="J103" s="2" t="s">
        <v>212</v>
      </c>
      <c r="K103" s="2" t="s">
        <v>28</v>
      </c>
      <c r="L103" s="2" t="n">
        <v>2</v>
      </c>
      <c r="M103" s="2" t="s">
        <v>29</v>
      </c>
      <c r="N103" s="2"/>
      <c r="O103" s="2" t="s">
        <v>721</v>
      </c>
      <c r="P103" s="2" t="s">
        <v>270</v>
      </c>
      <c r="Q103" s="2" t="s">
        <v>725</v>
      </c>
      <c r="R103" s="2" t="s">
        <v>261</v>
      </c>
    </row>
    <row r="104" customFormat="false" ht="15" hidden="false" customHeight="false" outlineLevel="0" collapsed="false">
      <c r="A104" s="2" t="s">
        <v>726</v>
      </c>
      <c r="B104" s="2" t="s">
        <v>727</v>
      </c>
      <c r="C104" s="2" t="s">
        <v>20</v>
      </c>
      <c r="D104" s="2" t="s">
        <v>21</v>
      </c>
      <c r="E104" s="2" t="s">
        <v>728</v>
      </c>
      <c r="F104" s="2" t="s">
        <v>729</v>
      </c>
      <c r="G104" s="2" t="s">
        <v>254</v>
      </c>
      <c r="H104" s="2" t="s">
        <v>643</v>
      </c>
      <c r="I104" s="2" t="s">
        <v>730</v>
      </c>
      <c r="J104" s="2" t="s">
        <v>731</v>
      </c>
      <c r="K104" s="2" t="s">
        <v>58</v>
      </c>
      <c r="L104" s="2" t="n">
        <v>3</v>
      </c>
      <c r="M104" s="2" t="s">
        <v>29</v>
      </c>
      <c r="N104" s="2"/>
      <c r="O104" s="2" t="s">
        <v>732</v>
      </c>
      <c r="P104" s="2" t="s">
        <v>30</v>
      </c>
      <c r="Q104" s="2" t="s">
        <v>733</v>
      </c>
      <c r="R104" s="2" t="s">
        <v>261</v>
      </c>
    </row>
    <row r="105" customFormat="false" ht="15" hidden="false" customHeight="false" outlineLevel="0" collapsed="false">
      <c r="A105" s="2" t="s">
        <v>734</v>
      </c>
      <c r="B105" s="2" t="s">
        <v>735</v>
      </c>
      <c r="C105" s="2" t="s">
        <v>736</v>
      </c>
      <c r="D105" s="2" t="s">
        <v>107</v>
      </c>
      <c r="E105" s="2" t="s">
        <v>737</v>
      </c>
      <c r="F105" s="2" t="s">
        <v>738</v>
      </c>
      <c r="G105" s="2" t="s">
        <v>308</v>
      </c>
      <c r="H105" s="2" t="s">
        <v>643</v>
      </c>
      <c r="I105" s="2" t="s">
        <v>724</v>
      </c>
      <c r="J105" s="2" t="s">
        <v>212</v>
      </c>
      <c r="K105" s="2" t="s">
        <v>28</v>
      </c>
      <c r="L105" s="2" t="n">
        <v>2</v>
      </c>
      <c r="M105" s="2" t="s">
        <v>29</v>
      </c>
      <c r="N105" s="2"/>
      <c r="O105" s="2" t="s">
        <v>735</v>
      </c>
      <c r="P105" s="2" t="s">
        <v>102</v>
      </c>
      <c r="Q105" s="2" t="s">
        <v>739</v>
      </c>
      <c r="R105" s="2" t="s">
        <v>32</v>
      </c>
    </row>
    <row r="106" customFormat="false" ht="15" hidden="false" customHeight="false" outlineLevel="0" collapsed="false">
      <c r="A106" s="2" t="s">
        <v>740</v>
      </c>
      <c r="B106" s="2" t="s">
        <v>741</v>
      </c>
      <c r="C106" s="2" t="s">
        <v>623</v>
      </c>
      <c r="D106" s="2" t="s">
        <v>107</v>
      </c>
      <c r="E106" s="2" t="s">
        <v>742</v>
      </c>
      <c r="F106" s="2" t="s">
        <v>743</v>
      </c>
      <c r="G106" s="2" t="s">
        <v>254</v>
      </c>
      <c r="H106" s="2" t="s">
        <v>643</v>
      </c>
      <c r="I106" s="2" t="s">
        <v>724</v>
      </c>
      <c r="J106" s="2" t="s">
        <v>212</v>
      </c>
      <c r="K106" s="2" t="s">
        <v>28</v>
      </c>
      <c r="L106" s="2" t="n">
        <v>2</v>
      </c>
      <c r="M106" s="2" t="s">
        <v>29</v>
      </c>
      <c r="N106" s="2"/>
      <c r="O106" s="2" t="s">
        <v>741</v>
      </c>
      <c r="P106" s="2" t="s">
        <v>270</v>
      </c>
      <c r="Q106" s="2" t="s">
        <v>744</v>
      </c>
      <c r="R106" s="2" t="s">
        <v>32</v>
      </c>
    </row>
    <row r="107" customFormat="false" ht="15" hidden="false" customHeight="false" outlineLevel="0" collapsed="false">
      <c r="A107" s="2" t="s">
        <v>745</v>
      </c>
      <c r="B107" s="2" t="s">
        <v>746</v>
      </c>
      <c r="C107" s="2" t="s">
        <v>52</v>
      </c>
      <c r="D107" s="2" t="s">
        <v>107</v>
      </c>
      <c r="E107" s="2" t="s">
        <v>747</v>
      </c>
      <c r="F107" s="2" t="s">
        <v>748</v>
      </c>
      <c r="G107" s="2" t="s">
        <v>308</v>
      </c>
      <c r="H107" s="2" t="s">
        <v>643</v>
      </c>
      <c r="I107" s="2" t="s">
        <v>724</v>
      </c>
      <c r="J107" s="2" t="s">
        <v>749</v>
      </c>
      <c r="K107" s="2" t="s">
        <v>58</v>
      </c>
      <c r="L107" s="2" t="n">
        <v>3</v>
      </c>
      <c r="M107" s="2" t="s">
        <v>59</v>
      </c>
      <c r="N107" s="2"/>
      <c r="O107" s="2" t="s">
        <v>750</v>
      </c>
      <c r="P107" s="2" t="s">
        <v>30</v>
      </c>
      <c r="Q107" s="2" t="s">
        <v>751</v>
      </c>
      <c r="R107" s="2" t="s">
        <v>32</v>
      </c>
    </row>
    <row r="108" customFormat="false" ht="15" hidden="false" customHeight="false" outlineLevel="0" collapsed="false">
      <c r="A108" s="2" t="s">
        <v>752</v>
      </c>
      <c r="B108" s="2" t="s">
        <v>753</v>
      </c>
      <c r="C108" s="2" t="s">
        <v>202</v>
      </c>
      <c r="D108" s="2" t="s">
        <v>107</v>
      </c>
      <c r="E108" s="2" t="s">
        <v>754</v>
      </c>
      <c r="F108" s="2" t="s">
        <v>755</v>
      </c>
      <c r="G108" s="2" t="s">
        <v>254</v>
      </c>
      <c r="H108" s="2" t="s">
        <v>643</v>
      </c>
      <c r="I108" s="2" t="s">
        <v>724</v>
      </c>
      <c r="J108" s="2" t="s">
        <v>756</v>
      </c>
      <c r="K108" s="2" t="s">
        <v>28</v>
      </c>
      <c r="L108" s="2" t="n">
        <v>2</v>
      </c>
      <c r="M108" s="2" t="s">
        <v>29</v>
      </c>
      <c r="N108" s="2" t="s">
        <v>757</v>
      </c>
      <c r="O108" s="2" t="s">
        <v>753</v>
      </c>
      <c r="P108" s="2" t="s">
        <v>102</v>
      </c>
      <c r="Q108" s="2" t="s">
        <v>758</v>
      </c>
      <c r="R108" s="2" t="s">
        <v>32</v>
      </c>
    </row>
    <row r="109" customFormat="false" ht="15" hidden="false" customHeight="false" outlineLevel="0" collapsed="false">
      <c r="A109" s="2" t="s">
        <v>759</v>
      </c>
      <c r="B109" s="2" t="s">
        <v>760</v>
      </c>
      <c r="C109" s="2" t="s">
        <v>202</v>
      </c>
      <c r="D109" s="2" t="s">
        <v>107</v>
      </c>
      <c r="E109" s="2" t="s">
        <v>761</v>
      </c>
      <c r="F109" s="2" t="s">
        <v>755</v>
      </c>
      <c r="G109" s="2" t="s">
        <v>254</v>
      </c>
      <c r="H109" s="2" t="s">
        <v>643</v>
      </c>
      <c r="I109" s="2" t="s">
        <v>724</v>
      </c>
      <c r="J109" s="2" t="s">
        <v>756</v>
      </c>
      <c r="K109" s="2" t="s">
        <v>28</v>
      </c>
      <c r="L109" s="2" t="n">
        <v>2</v>
      </c>
      <c r="M109" s="2" t="s">
        <v>29</v>
      </c>
      <c r="N109" s="2" t="s">
        <v>762</v>
      </c>
      <c r="O109" s="2" t="s">
        <v>760</v>
      </c>
      <c r="P109" s="2" t="s">
        <v>102</v>
      </c>
      <c r="Q109" s="2" t="s">
        <v>763</v>
      </c>
      <c r="R109" s="2" t="s">
        <v>32</v>
      </c>
    </row>
    <row r="110" customFormat="false" ht="15" hidden="false" customHeight="false" outlineLevel="0" collapsed="false">
      <c r="A110" s="2" t="s">
        <v>764</v>
      </c>
      <c r="B110" s="2" t="s">
        <v>765</v>
      </c>
      <c r="C110" s="2" t="s">
        <v>202</v>
      </c>
      <c r="D110" s="2" t="s">
        <v>107</v>
      </c>
      <c r="E110" s="2" t="s">
        <v>766</v>
      </c>
      <c r="F110" s="2" t="s">
        <v>755</v>
      </c>
      <c r="G110" s="2" t="s">
        <v>254</v>
      </c>
      <c r="H110" s="2" t="s">
        <v>643</v>
      </c>
      <c r="I110" s="2" t="s">
        <v>724</v>
      </c>
      <c r="J110" s="2" t="s">
        <v>756</v>
      </c>
      <c r="K110" s="2" t="s">
        <v>28</v>
      </c>
      <c r="L110" s="2" t="n">
        <v>2</v>
      </c>
      <c r="M110" s="2" t="s">
        <v>29</v>
      </c>
      <c r="N110" s="2" t="s">
        <v>767</v>
      </c>
      <c r="O110" s="2" t="s">
        <v>765</v>
      </c>
      <c r="P110" s="2" t="s">
        <v>102</v>
      </c>
      <c r="Q110" s="2" t="s">
        <v>768</v>
      </c>
      <c r="R110" s="2" t="s">
        <v>32</v>
      </c>
    </row>
    <row r="111" customFormat="false" ht="15" hidden="false" customHeight="false" outlineLevel="0" collapsed="false">
      <c r="A111" s="2" t="s">
        <v>769</v>
      </c>
      <c r="B111" s="2" t="s">
        <v>770</v>
      </c>
      <c r="C111" s="2" t="s">
        <v>513</v>
      </c>
      <c r="D111" s="2" t="s">
        <v>107</v>
      </c>
      <c r="E111" s="2" t="s">
        <v>771</v>
      </c>
      <c r="F111" s="2" t="s">
        <v>772</v>
      </c>
      <c r="G111" s="2" t="s">
        <v>254</v>
      </c>
      <c r="H111" s="2" t="s">
        <v>643</v>
      </c>
      <c r="I111" s="2" t="s">
        <v>773</v>
      </c>
      <c r="J111" s="2" t="s">
        <v>774</v>
      </c>
      <c r="K111" s="2" t="s">
        <v>28</v>
      </c>
      <c r="L111" s="2" t="n">
        <v>2</v>
      </c>
      <c r="M111" s="2" t="s">
        <v>29</v>
      </c>
      <c r="N111" s="2"/>
      <c r="O111" s="2" t="s">
        <v>775</v>
      </c>
      <c r="P111" s="2" t="s">
        <v>102</v>
      </c>
      <c r="Q111" s="2" t="s">
        <v>776</v>
      </c>
      <c r="R111" s="2" t="s">
        <v>32</v>
      </c>
    </row>
    <row r="112" customFormat="false" ht="15" hidden="false" customHeight="false" outlineLevel="0" collapsed="false">
      <c r="A112" s="2" t="s">
        <v>777</v>
      </c>
      <c r="B112" s="2" t="s">
        <v>466</v>
      </c>
      <c r="C112" s="2" t="s">
        <v>52</v>
      </c>
      <c r="D112" s="2" t="s">
        <v>107</v>
      </c>
      <c r="E112" s="2" t="s">
        <v>778</v>
      </c>
      <c r="F112" s="2" t="s">
        <v>779</v>
      </c>
      <c r="G112" s="2" t="s">
        <v>308</v>
      </c>
      <c r="H112" s="2" t="s">
        <v>643</v>
      </c>
      <c r="I112" s="2" t="s">
        <v>780</v>
      </c>
      <c r="J112" s="2" t="s">
        <v>781</v>
      </c>
      <c r="K112" s="2" t="s">
        <v>28</v>
      </c>
      <c r="L112" s="2" t="n">
        <v>2</v>
      </c>
      <c r="M112" s="2" t="s">
        <v>59</v>
      </c>
      <c r="N112" s="2"/>
      <c r="O112" s="2" t="s">
        <v>782</v>
      </c>
      <c r="P112" s="2" t="s">
        <v>30</v>
      </c>
      <c r="Q112" s="2" t="s">
        <v>783</v>
      </c>
      <c r="R112" s="2" t="s">
        <v>32</v>
      </c>
    </row>
    <row r="113" customFormat="false" ht="15" hidden="false" customHeight="false" outlineLevel="0" collapsed="false">
      <c r="A113" s="2" t="s">
        <v>784</v>
      </c>
      <c r="B113" s="2" t="s">
        <v>785</v>
      </c>
      <c r="C113" s="2" t="s">
        <v>20</v>
      </c>
      <c r="D113" s="2" t="s">
        <v>21</v>
      </c>
      <c r="E113" s="2" t="s">
        <v>786</v>
      </c>
      <c r="F113" s="2" t="s">
        <v>337</v>
      </c>
      <c r="G113" s="2" t="s">
        <v>55</v>
      </c>
      <c r="H113" s="2" t="s">
        <v>643</v>
      </c>
      <c r="I113" s="2" t="s">
        <v>100</v>
      </c>
      <c r="J113" s="2" t="s">
        <v>787</v>
      </c>
      <c r="K113" s="2" t="s">
        <v>58</v>
      </c>
      <c r="L113" s="2" t="n">
        <v>3</v>
      </c>
      <c r="M113" s="2" t="s">
        <v>59</v>
      </c>
      <c r="N113" s="2"/>
      <c r="O113" s="2" t="s">
        <v>785</v>
      </c>
      <c r="P113" s="2" t="s">
        <v>30</v>
      </c>
      <c r="Q113" s="2" t="s">
        <v>788</v>
      </c>
      <c r="R113" s="2" t="s">
        <v>32</v>
      </c>
    </row>
    <row r="114" customFormat="false" ht="15" hidden="false" customHeight="false" outlineLevel="0" collapsed="false">
      <c r="A114" s="2" t="s">
        <v>789</v>
      </c>
      <c r="B114" s="2" t="s">
        <v>790</v>
      </c>
      <c r="C114" s="2" t="s">
        <v>20</v>
      </c>
      <c r="D114" s="2" t="s">
        <v>21</v>
      </c>
      <c r="E114" s="2" t="s">
        <v>791</v>
      </c>
      <c r="F114" s="2" t="s">
        <v>337</v>
      </c>
      <c r="G114" s="2" t="s">
        <v>55</v>
      </c>
      <c r="H114" s="2" t="s">
        <v>643</v>
      </c>
      <c r="I114" s="2" t="s">
        <v>100</v>
      </c>
      <c r="J114" s="2" t="s">
        <v>792</v>
      </c>
      <c r="K114" s="2" t="s">
        <v>58</v>
      </c>
      <c r="L114" s="2" t="n">
        <v>3</v>
      </c>
      <c r="M114" s="2" t="s">
        <v>59</v>
      </c>
      <c r="N114" s="2"/>
      <c r="O114" s="2" t="s">
        <v>790</v>
      </c>
      <c r="P114" s="2" t="s">
        <v>30</v>
      </c>
      <c r="Q114" s="2" t="s">
        <v>793</v>
      </c>
      <c r="R114" s="2" t="s">
        <v>32</v>
      </c>
    </row>
    <row r="115" customFormat="false" ht="15" hidden="false" customHeight="false" outlineLevel="0" collapsed="false">
      <c r="A115" s="2" t="s">
        <v>794</v>
      </c>
      <c r="B115" s="2" t="s">
        <v>795</v>
      </c>
      <c r="C115" s="2" t="s">
        <v>20</v>
      </c>
      <c r="D115" s="2" t="s">
        <v>21</v>
      </c>
      <c r="E115" s="2" t="s">
        <v>796</v>
      </c>
      <c r="F115" s="2" t="s">
        <v>337</v>
      </c>
      <c r="G115" s="2" t="s">
        <v>55</v>
      </c>
      <c r="H115" s="2" t="s">
        <v>643</v>
      </c>
      <c r="I115" s="2" t="s">
        <v>100</v>
      </c>
      <c r="J115" s="2" t="s">
        <v>101</v>
      </c>
      <c r="K115" s="2" t="s">
        <v>58</v>
      </c>
      <c r="L115" s="2" t="n">
        <v>3</v>
      </c>
      <c r="M115" s="2" t="s">
        <v>59</v>
      </c>
      <c r="N115" s="2" t="s">
        <v>797</v>
      </c>
      <c r="O115" s="2" t="s">
        <v>795</v>
      </c>
      <c r="P115" s="2" t="s">
        <v>30</v>
      </c>
      <c r="Q115" s="2" t="s">
        <v>798</v>
      </c>
      <c r="R115" s="2" t="s">
        <v>32</v>
      </c>
    </row>
    <row r="116" customFormat="false" ht="15" hidden="false" customHeight="false" outlineLevel="0" collapsed="false">
      <c r="A116" s="2" t="s">
        <v>799</v>
      </c>
      <c r="B116" s="2" t="s">
        <v>800</v>
      </c>
      <c r="C116" s="2" t="s">
        <v>20</v>
      </c>
      <c r="D116" s="2" t="s">
        <v>21</v>
      </c>
      <c r="E116" s="2" t="s">
        <v>801</v>
      </c>
      <c r="F116" s="2" t="s">
        <v>337</v>
      </c>
      <c r="G116" s="2" t="s">
        <v>55</v>
      </c>
      <c r="H116" s="2" t="s">
        <v>643</v>
      </c>
      <c r="I116" s="2" t="s">
        <v>802</v>
      </c>
      <c r="J116" s="2" t="s">
        <v>803</v>
      </c>
      <c r="K116" s="2" t="s">
        <v>69</v>
      </c>
      <c r="L116" s="2" t="n">
        <v>4</v>
      </c>
      <c r="M116" s="2" t="s">
        <v>59</v>
      </c>
      <c r="N116" s="2"/>
      <c r="O116" s="2" t="s">
        <v>800</v>
      </c>
      <c r="P116" s="2" t="s">
        <v>30</v>
      </c>
      <c r="Q116" s="2" t="s">
        <v>804</v>
      </c>
      <c r="R116" s="2" t="s">
        <v>32</v>
      </c>
    </row>
    <row r="117" customFormat="false" ht="15" hidden="false" customHeight="false" outlineLevel="0" collapsed="false">
      <c r="A117" s="2" t="s">
        <v>805</v>
      </c>
      <c r="B117" s="2" t="s">
        <v>806</v>
      </c>
      <c r="C117" s="2" t="s">
        <v>20</v>
      </c>
      <c r="D117" s="2" t="s">
        <v>21</v>
      </c>
      <c r="E117" s="2" t="s">
        <v>807</v>
      </c>
      <c r="F117" s="2" t="s">
        <v>337</v>
      </c>
      <c r="G117" s="2" t="s">
        <v>55</v>
      </c>
      <c r="H117" s="2" t="s">
        <v>643</v>
      </c>
      <c r="I117" s="2" t="s">
        <v>196</v>
      </c>
      <c r="J117" s="2" t="s">
        <v>808</v>
      </c>
      <c r="K117" s="2" t="s">
        <v>69</v>
      </c>
      <c r="L117" s="2" t="n">
        <v>4</v>
      </c>
      <c r="M117" s="2" t="s">
        <v>59</v>
      </c>
      <c r="N117" s="2"/>
      <c r="O117" s="2" t="s">
        <v>806</v>
      </c>
      <c r="P117" s="2" t="s">
        <v>30</v>
      </c>
      <c r="Q117" s="2" t="s">
        <v>809</v>
      </c>
      <c r="R117" s="2" t="s">
        <v>32</v>
      </c>
    </row>
    <row r="118" customFormat="false" ht="15" hidden="false" customHeight="false" outlineLevel="0" collapsed="false">
      <c r="A118" s="2" t="s">
        <v>810</v>
      </c>
      <c r="B118" s="2" t="s">
        <v>811</v>
      </c>
      <c r="C118" s="2" t="s">
        <v>20</v>
      </c>
      <c r="D118" s="2" t="s">
        <v>21</v>
      </c>
      <c r="E118" s="2" t="s">
        <v>812</v>
      </c>
      <c r="F118" s="2" t="s">
        <v>337</v>
      </c>
      <c r="G118" s="2" t="s">
        <v>55</v>
      </c>
      <c r="H118" s="2" t="s">
        <v>643</v>
      </c>
      <c r="I118" s="2" t="s">
        <v>196</v>
      </c>
      <c r="J118" s="2" t="s">
        <v>813</v>
      </c>
      <c r="K118" s="2" t="s">
        <v>69</v>
      </c>
      <c r="L118" s="2" t="n">
        <v>4</v>
      </c>
      <c r="M118" s="2" t="s">
        <v>59</v>
      </c>
      <c r="N118" s="2"/>
      <c r="O118" s="2" t="s">
        <v>811</v>
      </c>
      <c r="P118" s="2" t="s">
        <v>30</v>
      </c>
      <c r="Q118" s="2" t="s">
        <v>814</v>
      </c>
      <c r="R118" s="2" t="s">
        <v>32</v>
      </c>
    </row>
    <row r="119" customFormat="false" ht="15" hidden="false" customHeight="false" outlineLevel="0" collapsed="false">
      <c r="A119" s="2" t="s">
        <v>815</v>
      </c>
      <c r="B119" s="2" t="s">
        <v>816</v>
      </c>
      <c r="C119" s="2" t="s">
        <v>52</v>
      </c>
      <c r="D119" s="2" t="s">
        <v>532</v>
      </c>
      <c r="E119" s="2" t="s">
        <v>817</v>
      </c>
      <c r="F119" s="2" t="s">
        <v>818</v>
      </c>
      <c r="G119" s="2" t="s">
        <v>254</v>
      </c>
      <c r="H119" s="2" t="s">
        <v>643</v>
      </c>
      <c r="I119" s="2" t="s">
        <v>819</v>
      </c>
      <c r="J119" s="2" t="s">
        <v>820</v>
      </c>
      <c r="K119" s="2" t="s">
        <v>58</v>
      </c>
      <c r="L119" s="2" t="n">
        <v>3</v>
      </c>
      <c r="M119" s="2" t="s">
        <v>59</v>
      </c>
      <c r="N119" s="2"/>
      <c r="O119" s="2" t="s">
        <v>821</v>
      </c>
      <c r="P119" s="2" t="s">
        <v>102</v>
      </c>
      <c r="Q119" s="2" t="s">
        <v>822</v>
      </c>
      <c r="R119" s="2" t="s">
        <v>32</v>
      </c>
    </row>
    <row r="120" customFormat="false" ht="15" hidden="false" customHeight="false" outlineLevel="0" collapsed="false">
      <c r="A120" s="2" t="s">
        <v>823</v>
      </c>
      <c r="B120" s="2" t="s">
        <v>824</v>
      </c>
      <c r="C120" s="2" t="s">
        <v>355</v>
      </c>
      <c r="D120" s="2" t="s">
        <v>107</v>
      </c>
      <c r="E120" s="2" t="s">
        <v>825</v>
      </c>
      <c r="F120" s="2" t="s">
        <v>826</v>
      </c>
      <c r="G120" s="2" t="s">
        <v>254</v>
      </c>
      <c r="H120" s="2" t="s">
        <v>643</v>
      </c>
      <c r="I120" s="2" t="s">
        <v>827</v>
      </c>
      <c r="J120" s="2" t="s">
        <v>828</v>
      </c>
      <c r="K120" s="2" t="s">
        <v>69</v>
      </c>
      <c r="L120" s="2" t="n">
        <v>4</v>
      </c>
      <c r="M120" s="2" t="s">
        <v>59</v>
      </c>
      <c r="N120" s="2" t="n">
        <v>23</v>
      </c>
      <c r="O120" s="2" t="s">
        <v>829</v>
      </c>
      <c r="P120" s="2" t="s">
        <v>30</v>
      </c>
      <c r="Q120" s="2" t="s">
        <v>830</v>
      </c>
      <c r="R120" s="2" t="s">
        <v>32</v>
      </c>
    </row>
    <row r="121" customFormat="false" ht="15" hidden="false" customHeight="false" outlineLevel="0" collapsed="false">
      <c r="A121" s="2" t="s">
        <v>831</v>
      </c>
      <c r="B121" s="2" t="s">
        <v>832</v>
      </c>
      <c r="C121" s="2" t="s">
        <v>64</v>
      </c>
      <c r="D121" s="2" t="s">
        <v>107</v>
      </c>
      <c r="E121" s="2" t="s">
        <v>833</v>
      </c>
      <c r="F121" s="2" t="s">
        <v>834</v>
      </c>
      <c r="G121" s="2" t="s">
        <v>254</v>
      </c>
      <c r="H121" s="2" t="s">
        <v>643</v>
      </c>
      <c r="I121" s="2" t="s">
        <v>802</v>
      </c>
      <c r="J121" s="2" t="s">
        <v>835</v>
      </c>
      <c r="K121" s="2" t="s">
        <v>69</v>
      </c>
      <c r="L121" s="2" t="n">
        <v>4</v>
      </c>
      <c r="M121" s="2" t="s">
        <v>59</v>
      </c>
      <c r="N121" s="2"/>
      <c r="O121" s="2" t="s">
        <v>836</v>
      </c>
      <c r="P121" s="2" t="s">
        <v>30</v>
      </c>
      <c r="Q121" s="2" t="s">
        <v>837</v>
      </c>
      <c r="R121" s="2" t="s">
        <v>32</v>
      </c>
    </row>
    <row r="122" customFormat="false" ht="15" hidden="false" customHeight="false" outlineLevel="0" collapsed="false">
      <c r="A122" s="2" t="s">
        <v>838</v>
      </c>
      <c r="B122" s="2" t="s">
        <v>839</v>
      </c>
      <c r="C122" s="2" t="s">
        <v>455</v>
      </c>
      <c r="D122" s="2" t="s">
        <v>107</v>
      </c>
      <c r="E122" s="2" t="s">
        <v>840</v>
      </c>
      <c r="F122" s="2" t="s">
        <v>253</v>
      </c>
      <c r="G122" s="2" t="s">
        <v>254</v>
      </c>
      <c r="H122" s="2" t="s">
        <v>643</v>
      </c>
      <c r="I122" s="2" t="s">
        <v>196</v>
      </c>
      <c r="J122" s="2" t="s">
        <v>27</v>
      </c>
      <c r="K122" s="2" t="s">
        <v>69</v>
      </c>
      <c r="L122" s="2" t="n">
        <v>4</v>
      </c>
      <c r="M122" s="2" t="s">
        <v>29</v>
      </c>
      <c r="N122" s="2"/>
      <c r="O122" s="2" t="s">
        <v>841</v>
      </c>
      <c r="P122" s="2" t="s">
        <v>102</v>
      </c>
      <c r="Q122" s="2" t="s">
        <v>842</v>
      </c>
      <c r="R122" s="2" t="s">
        <v>32</v>
      </c>
    </row>
    <row r="123" customFormat="false" ht="15" hidden="false" customHeight="false" outlineLevel="0" collapsed="false">
      <c r="A123" s="2" t="s">
        <v>843</v>
      </c>
      <c r="B123" s="2" t="s">
        <v>844</v>
      </c>
      <c r="C123" s="2" t="s">
        <v>355</v>
      </c>
      <c r="D123" s="2" t="s">
        <v>107</v>
      </c>
      <c r="E123" s="2" t="s">
        <v>108</v>
      </c>
      <c r="F123" s="2" t="s">
        <v>845</v>
      </c>
      <c r="G123" s="2" t="s">
        <v>254</v>
      </c>
      <c r="H123" s="2" t="s">
        <v>643</v>
      </c>
      <c r="I123" s="2" t="s">
        <v>846</v>
      </c>
      <c r="J123" s="2" t="s">
        <v>847</v>
      </c>
      <c r="K123" s="2" t="s">
        <v>69</v>
      </c>
      <c r="L123" s="2" t="n">
        <v>4</v>
      </c>
      <c r="M123" s="2" t="s">
        <v>59</v>
      </c>
      <c r="N123" s="2"/>
      <c r="O123" s="2" t="s">
        <v>619</v>
      </c>
      <c r="P123" s="2" t="s">
        <v>30</v>
      </c>
      <c r="Q123" s="2" t="s">
        <v>848</v>
      </c>
      <c r="R123" s="2" t="s">
        <v>32</v>
      </c>
    </row>
    <row r="124" customFormat="false" ht="15" hidden="false" customHeight="false" outlineLevel="0" collapsed="false">
      <c r="A124" s="2" t="s">
        <v>849</v>
      </c>
      <c r="B124" s="2" t="s">
        <v>850</v>
      </c>
      <c r="C124" s="2" t="s">
        <v>355</v>
      </c>
      <c r="D124" s="2" t="s">
        <v>107</v>
      </c>
      <c r="E124" s="2" t="s">
        <v>108</v>
      </c>
      <c r="F124" s="2" t="s">
        <v>845</v>
      </c>
      <c r="G124" s="2" t="s">
        <v>254</v>
      </c>
      <c r="H124" s="2" t="s">
        <v>643</v>
      </c>
      <c r="I124" s="2" t="s">
        <v>196</v>
      </c>
      <c r="J124" s="2" t="s">
        <v>27</v>
      </c>
      <c r="K124" s="2" t="s">
        <v>69</v>
      </c>
      <c r="L124" s="2" t="n">
        <v>4</v>
      </c>
      <c r="M124" s="2" t="s">
        <v>59</v>
      </c>
      <c r="N124" s="2"/>
      <c r="O124" s="2" t="s">
        <v>619</v>
      </c>
      <c r="P124" s="2" t="s">
        <v>30</v>
      </c>
      <c r="Q124" s="2" t="s">
        <v>851</v>
      </c>
      <c r="R124" s="2" t="s">
        <v>32</v>
      </c>
    </row>
    <row r="125" customFormat="false" ht="15" hidden="false" customHeight="false" outlineLevel="0" collapsed="false">
      <c r="A125" s="2" t="s">
        <v>852</v>
      </c>
      <c r="B125" s="2" t="s">
        <v>426</v>
      </c>
      <c r="C125" s="2" t="s">
        <v>427</v>
      </c>
      <c r="D125" s="2" t="s">
        <v>107</v>
      </c>
      <c r="E125" s="2" t="s">
        <v>108</v>
      </c>
      <c r="F125" s="2" t="s">
        <v>845</v>
      </c>
      <c r="G125" s="2" t="s">
        <v>254</v>
      </c>
      <c r="H125" s="2" t="s">
        <v>643</v>
      </c>
      <c r="I125" s="2" t="s">
        <v>853</v>
      </c>
      <c r="J125" s="2" t="s">
        <v>27</v>
      </c>
      <c r="K125" s="2" t="s">
        <v>69</v>
      </c>
      <c r="L125" s="2" t="n">
        <v>4</v>
      </c>
      <c r="M125" s="2" t="s">
        <v>59</v>
      </c>
      <c r="N125" s="2"/>
      <c r="O125" s="2" t="s">
        <v>619</v>
      </c>
      <c r="P125" s="2" t="s">
        <v>30</v>
      </c>
      <c r="Q125" s="2" t="s">
        <v>707</v>
      </c>
      <c r="R125" s="2" t="s">
        <v>32</v>
      </c>
    </row>
    <row r="126" customFormat="false" ht="15" hidden="false" customHeight="false" outlineLevel="0" collapsed="false">
      <c r="A126" s="2" t="s">
        <v>854</v>
      </c>
      <c r="B126" s="2" t="s">
        <v>855</v>
      </c>
      <c r="C126" s="2" t="s">
        <v>35</v>
      </c>
      <c r="D126" s="2" t="s">
        <v>107</v>
      </c>
      <c r="E126" s="2" t="s">
        <v>856</v>
      </c>
      <c r="F126" s="2" t="s">
        <v>292</v>
      </c>
      <c r="G126" s="2" t="s">
        <v>716</v>
      </c>
      <c r="H126" s="2" t="s">
        <v>643</v>
      </c>
      <c r="I126" s="2" t="s">
        <v>857</v>
      </c>
      <c r="J126" s="2" t="s">
        <v>858</v>
      </c>
      <c r="K126" s="2" t="s">
        <v>28</v>
      </c>
      <c r="L126" s="2" t="n">
        <v>2</v>
      </c>
      <c r="M126" s="2" t="s">
        <v>59</v>
      </c>
      <c r="N126" s="2"/>
      <c r="O126" s="2" t="s">
        <v>859</v>
      </c>
      <c r="P126" s="2" t="s">
        <v>102</v>
      </c>
      <c r="Q126" s="2" t="s">
        <v>860</v>
      </c>
      <c r="R126" s="2" t="s">
        <v>32</v>
      </c>
    </row>
    <row r="127" customFormat="false" ht="15" hidden="false" customHeight="false" outlineLevel="0" collapsed="false">
      <c r="A127" s="2" t="s">
        <v>861</v>
      </c>
      <c r="B127" s="2" t="s">
        <v>862</v>
      </c>
      <c r="C127" s="2" t="s">
        <v>35</v>
      </c>
      <c r="D127" s="2" t="s">
        <v>107</v>
      </c>
      <c r="E127" s="2" t="s">
        <v>863</v>
      </c>
      <c r="F127" s="2" t="s">
        <v>292</v>
      </c>
      <c r="G127" s="2" t="s">
        <v>716</v>
      </c>
      <c r="H127" s="2" t="s">
        <v>643</v>
      </c>
      <c r="I127" s="2" t="s">
        <v>864</v>
      </c>
      <c r="J127" s="2" t="s">
        <v>865</v>
      </c>
      <c r="K127" s="2" t="s">
        <v>28</v>
      </c>
      <c r="L127" s="2" t="n">
        <v>2</v>
      </c>
      <c r="M127" s="2" t="s">
        <v>866</v>
      </c>
      <c r="N127" s="2" t="n">
        <v>4</v>
      </c>
      <c r="O127" s="2" t="s">
        <v>867</v>
      </c>
      <c r="P127" s="2" t="s">
        <v>30</v>
      </c>
      <c r="Q127" s="2" t="s">
        <v>868</v>
      </c>
      <c r="R127" s="2" t="s">
        <v>32</v>
      </c>
    </row>
    <row r="128" customFormat="false" ht="15" hidden="false" customHeight="false" outlineLevel="0" collapsed="false">
      <c r="A128" s="2" t="s">
        <v>869</v>
      </c>
      <c r="B128" s="2" t="s">
        <v>870</v>
      </c>
      <c r="C128" s="2" t="s">
        <v>35</v>
      </c>
      <c r="D128" s="2" t="s">
        <v>107</v>
      </c>
      <c r="E128" s="2" t="s">
        <v>871</v>
      </c>
      <c r="F128" s="2" t="s">
        <v>253</v>
      </c>
      <c r="G128" s="2" t="s">
        <v>716</v>
      </c>
      <c r="H128" s="2" t="s">
        <v>643</v>
      </c>
      <c r="I128" s="2" t="s">
        <v>872</v>
      </c>
      <c r="J128" s="2" t="s">
        <v>873</v>
      </c>
      <c r="K128" s="2" t="s">
        <v>28</v>
      </c>
      <c r="L128" s="2" t="n">
        <v>2</v>
      </c>
      <c r="M128" s="2" t="s">
        <v>59</v>
      </c>
      <c r="N128" s="2"/>
      <c r="O128" s="2" t="s">
        <v>874</v>
      </c>
      <c r="P128" s="2" t="s">
        <v>30</v>
      </c>
      <c r="Q128" s="2" t="s">
        <v>875</v>
      </c>
      <c r="R128" s="2" t="s">
        <v>32</v>
      </c>
    </row>
    <row r="129" customFormat="false" ht="15" hidden="false" customHeight="false" outlineLevel="0" collapsed="false">
      <c r="A129" s="2" t="s">
        <v>876</v>
      </c>
      <c r="B129" s="2" t="s">
        <v>877</v>
      </c>
      <c r="C129" s="2" t="s">
        <v>90</v>
      </c>
      <c r="D129" s="2" t="s">
        <v>107</v>
      </c>
      <c r="E129" s="2" t="s">
        <v>878</v>
      </c>
      <c r="F129" s="2" t="s">
        <v>292</v>
      </c>
      <c r="G129" s="2" t="s">
        <v>716</v>
      </c>
      <c r="H129" s="2" t="s">
        <v>643</v>
      </c>
      <c r="I129" s="2" t="s">
        <v>879</v>
      </c>
      <c r="J129" s="2" t="s">
        <v>880</v>
      </c>
      <c r="K129" s="2" t="s">
        <v>28</v>
      </c>
      <c r="L129" s="2" t="n">
        <v>2</v>
      </c>
      <c r="M129" s="2" t="s">
        <v>59</v>
      </c>
      <c r="N129" s="2"/>
      <c r="O129" s="2" t="s">
        <v>881</v>
      </c>
      <c r="P129" s="2" t="s">
        <v>102</v>
      </c>
      <c r="Q129" s="2" t="s">
        <v>882</v>
      </c>
      <c r="R129" s="2" t="s">
        <v>32</v>
      </c>
    </row>
    <row r="130" customFormat="false" ht="15" hidden="false" customHeight="false" outlineLevel="0" collapsed="false">
      <c r="A130" s="2" t="s">
        <v>883</v>
      </c>
      <c r="B130" s="2" t="s">
        <v>884</v>
      </c>
      <c r="C130" s="2" t="s">
        <v>446</v>
      </c>
      <c r="D130" s="2" t="s">
        <v>107</v>
      </c>
      <c r="E130" s="2" t="s">
        <v>885</v>
      </c>
      <c r="F130" s="2" t="s">
        <v>292</v>
      </c>
      <c r="G130" s="2" t="s">
        <v>716</v>
      </c>
      <c r="H130" s="2" t="s">
        <v>643</v>
      </c>
      <c r="I130" s="2" t="s">
        <v>886</v>
      </c>
      <c r="J130" s="2" t="s">
        <v>887</v>
      </c>
      <c r="K130" s="2" t="s">
        <v>28</v>
      </c>
      <c r="L130" s="2" t="n">
        <v>2</v>
      </c>
      <c r="M130" s="2" t="s">
        <v>888</v>
      </c>
      <c r="N130" s="2"/>
      <c r="O130" s="2" t="s">
        <v>889</v>
      </c>
      <c r="P130" s="2" t="s">
        <v>102</v>
      </c>
      <c r="Q130" s="2" t="s">
        <v>890</v>
      </c>
      <c r="R130" s="2" t="s">
        <v>32</v>
      </c>
    </row>
    <row r="131" customFormat="false" ht="15" hidden="false" customHeight="false" outlineLevel="0" collapsed="false">
      <c r="A131" s="2" t="s">
        <v>891</v>
      </c>
      <c r="B131" s="2" t="s">
        <v>892</v>
      </c>
      <c r="C131" s="2" t="s">
        <v>355</v>
      </c>
      <c r="D131" s="2" t="s">
        <v>107</v>
      </c>
      <c r="E131" s="2" t="s">
        <v>893</v>
      </c>
      <c r="F131" s="2" t="s">
        <v>292</v>
      </c>
      <c r="G131" s="2" t="s">
        <v>716</v>
      </c>
      <c r="H131" s="2" t="s">
        <v>643</v>
      </c>
      <c r="I131" s="2" t="s">
        <v>894</v>
      </c>
      <c r="J131" s="2" t="s">
        <v>858</v>
      </c>
      <c r="K131" s="2" t="s">
        <v>28</v>
      </c>
      <c r="L131" s="2" t="n">
        <v>2</v>
      </c>
      <c r="M131" s="2" t="s">
        <v>866</v>
      </c>
      <c r="N131" s="2"/>
      <c r="O131" s="2" t="s">
        <v>619</v>
      </c>
      <c r="P131" s="2" t="s">
        <v>102</v>
      </c>
      <c r="Q131" s="2" t="s">
        <v>895</v>
      </c>
      <c r="R131" s="2" t="s">
        <v>32</v>
      </c>
    </row>
    <row r="132" customFormat="false" ht="15" hidden="false" customHeight="false" outlineLevel="0" collapsed="false">
      <c r="A132" s="2" t="s">
        <v>896</v>
      </c>
      <c r="B132" s="2" t="s">
        <v>897</v>
      </c>
      <c r="C132" s="2" t="s">
        <v>106</v>
      </c>
      <c r="D132" s="2" t="s">
        <v>107</v>
      </c>
      <c r="E132" s="2" t="s">
        <v>898</v>
      </c>
      <c r="F132" s="2" t="s">
        <v>253</v>
      </c>
      <c r="G132" s="2" t="s">
        <v>716</v>
      </c>
      <c r="H132" s="2" t="s">
        <v>643</v>
      </c>
      <c r="I132" s="2" t="s">
        <v>899</v>
      </c>
      <c r="J132" s="2" t="s">
        <v>101</v>
      </c>
      <c r="K132" s="2" t="s">
        <v>28</v>
      </c>
      <c r="L132" s="2" t="n">
        <v>2</v>
      </c>
      <c r="M132" s="2" t="s">
        <v>59</v>
      </c>
      <c r="N132" s="2"/>
      <c r="O132" s="2" t="s">
        <v>900</v>
      </c>
      <c r="P132" s="2" t="s">
        <v>102</v>
      </c>
      <c r="Q132" s="2" t="s">
        <v>901</v>
      </c>
      <c r="R132" s="2" t="s">
        <v>32</v>
      </c>
    </row>
    <row r="133" customFormat="false" ht="15" hidden="false" customHeight="false" outlineLevel="0" collapsed="false">
      <c r="A133" s="2" t="s">
        <v>902</v>
      </c>
      <c r="B133" s="2" t="s">
        <v>903</v>
      </c>
      <c r="C133" s="2" t="s">
        <v>904</v>
      </c>
      <c r="D133" s="2" t="s">
        <v>107</v>
      </c>
      <c r="E133" s="2" t="s">
        <v>905</v>
      </c>
      <c r="F133" s="2" t="s">
        <v>292</v>
      </c>
      <c r="G133" s="2" t="s">
        <v>716</v>
      </c>
      <c r="H133" s="2" t="s">
        <v>643</v>
      </c>
      <c r="I133" s="2" t="s">
        <v>906</v>
      </c>
      <c r="J133" s="2" t="s">
        <v>907</v>
      </c>
      <c r="K133" s="2" t="s">
        <v>58</v>
      </c>
      <c r="L133" s="2" t="n">
        <v>3</v>
      </c>
      <c r="M133" s="2" t="s">
        <v>59</v>
      </c>
      <c r="N133" s="2" t="n">
        <v>46</v>
      </c>
      <c r="O133" s="2" t="s">
        <v>908</v>
      </c>
      <c r="P133" s="2" t="s">
        <v>30</v>
      </c>
      <c r="Q133" s="2" t="s">
        <v>909</v>
      </c>
      <c r="R133" s="2" t="s">
        <v>32</v>
      </c>
    </row>
    <row r="134" customFormat="false" ht="15" hidden="false" customHeight="false" outlineLevel="0" collapsed="false">
      <c r="A134" s="2" t="s">
        <v>910</v>
      </c>
      <c r="B134" s="2" t="s">
        <v>911</v>
      </c>
      <c r="C134" s="2" t="s">
        <v>299</v>
      </c>
      <c r="D134" s="2" t="s">
        <v>107</v>
      </c>
      <c r="E134" s="2" t="s">
        <v>912</v>
      </c>
      <c r="F134" s="2" t="s">
        <v>292</v>
      </c>
      <c r="G134" s="2" t="s">
        <v>716</v>
      </c>
      <c r="H134" s="2" t="s">
        <v>643</v>
      </c>
      <c r="I134" s="2" t="s">
        <v>913</v>
      </c>
      <c r="J134" s="2" t="s">
        <v>914</v>
      </c>
      <c r="K134" s="2" t="s">
        <v>58</v>
      </c>
      <c r="L134" s="2" t="n">
        <v>3</v>
      </c>
      <c r="M134" s="2" t="s">
        <v>59</v>
      </c>
      <c r="N134" s="2"/>
      <c r="O134" s="2" t="s">
        <v>915</v>
      </c>
      <c r="P134" s="2" t="s">
        <v>102</v>
      </c>
      <c r="Q134" s="2" t="s">
        <v>916</v>
      </c>
      <c r="R134" s="2" t="s">
        <v>32</v>
      </c>
    </row>
    <row r="135" customFormat="false" ht="15" hidden="false" customHeight="false" outlineLevel="0" collapsed="false">
      <c r="A135" s="2" t="s">
        <v>917</v>
      </c>
      <c r="B135" s="2" t="s">
        <v>918</v>
      </c>
      <c r="C135" s="2" t="s">
        <v>64</v>
      </c>
      <c r="D135" s="2" t="s">
        <v>107</v>
      </c>
      <c r="E135" s="2" t="s">
        <v>919</v>
      </c>
      <c r="F135" s="2" t="s">
        <v>292</v>
      </c>
      <c r="G135" s="2" t="s">
        <v>716</v>
      </c>
      <c r="H135" s="2" t="s">
        <v>643</v>
      </c>
      <c r="I135" s="2" t="s">
        <v>920</v>
      </c>
      <c r="J135" s="2" t="s">
        <v>556</v>
      </c>
      <c r="K135" s="2" t="s">
        <v>58</v>
      </c>
      <c r="L135" s="2" t="n">
        <v>3</v>
      </c>
      <c r="M135" s="2" t="s">
        <v>59</v>
      </c>
      <c r="N135" s="2"/>
      <c r="O135" s="2" t="s">
        <v>921</v>
      </c>
      <c r="P135" s="2" t="s">
        <v>102</v>
      </c>
      <c r="Q135" s="2" t="s">
        <v>922</v>
      </c>
      <c r="R135" s="2" t="s">
        <v>32</v>
      </c>
    </row>
    <row r="136" customFormat="false" ht="15" hidden="false" customHeight="false" outlineLevel="0" collapsed="false">
      <c r="A136" s="2" t="s">
        <v>923</v>
      </c>
      <c r="B136" s="2" t="s">
        <v>924</v>
      </c>
      <c r="C136" s="2" t="s">
        <v>193</v>
      </c>
      <c r="D136" s="2" t="s">
        <v>107</v>
      </c>
      <c r="E136" s="2" t="s">
        <v>925</v>
      </c>
      <c r="F136" s="2" t="s">
        <v>292</v>
      </c>
      <c r="G136" s="2" t="s">
        <v>716</v>
      </c>
      <c r="H136" s="2" t="s">
        <v>643</v>
      </c>
      <c r="I136" s="2" t="s">
        <v>926</v>
      </c>
      <c r="J136" s="2" t="s">
        <v>914</v>
      </c>
      <c r="K136" s="2" t="s">
        <v>58</v>
      </c>
      <c r="L136" s="2" t="n">
        <v>3</v>
      </c>
      <c r="M136" s="2" t="s">
        <v>59</v>
      </c>
      <c r="N136" s="2"/>
      <c r="O136" s="2" t="s">
        <v>562</v>
      </c>
      <c r="P136" s="2" t="s">
        <v>30</v>
      </c>
      <c r="Q136" s="2" t="s">
        <v>927</v>
      </c>
      <c r="R136" s="2" t="s">
        <v>32</v>
      </c>
    </row>
    <row r="137" customFormat="false" ht="15" hidden="false" customHeight="false" outlineLevel="0" collapsed="false">
      <c r="A137" s="2" t="s">
        <v>928</v>
      </c>
      <c r="B137" s="2" t="s">
        <v>929</v>
      </c>
      <c r="C137" s="2" t="s">
        <v>52</v>
      </c>
      <c r="D137" s="2" t="s">
        <v>107</v>
      </c>
      <c r="E137" s="2" t="s">
        <v>930</v>
      </c>
      <c r="F137" s="2" t="s">
        <v>292</v>
      </c>
      <c r="G137" s="2" t="s">
        <v>716</v>
      </c>
      <c r="H137" s="2" t="s">
        <v>643</v>
      </c>
      <c r="I137" s="2" t="s">
        <v>931</v>
      </c>
      <c r="J137" s="2" t="s">
        <v>932</v>
      </c>
      <c r="K137" s="2" t="s">
        <v>58</v>
      </c>
      <c r="L137" s="2" t="n">
        <v>3</v>
      </c>
      <c r="M137" s="2" t="s">
        <v>29</v>
      </c>
      <c r="N137" s="2"/>
      <c r="O137" s="2" t="s">
        <v>562</v>
      </c>
      <c r="P137" s="2" t="s">
        <v>102</v>
      </c>
      <c r="Q137" s="2" t="s">
        <v>933</v>
      </c>
      <c r="R137" s="2" t="s">
        <v>32</v>
      </c>
    </row>
    <row r="138" customFormat="false" ht="15" hidden="false" customHeight="false" outlineLevel="0" collapsed="false">
      <c r="A138" s="2" t="s">
        <v>934</v>
      </c>
      <c r="B138" s="2" t="s">
        <v>935</v>
      </c>
      <c r="C138" s="2" t="s">
        <v>52</v>
      </c>
      <c r="D138" s="2" t="s">
        <v>107</v>
      </c>
      <c r="E138" s="2" t="s">
        <v>936</v>
      </c>
      <c r="F138" s="2" t="s">
        <v>292</v>
      </c>
      <c r="G138" s="2" t="s">
        <v>716</v>
      </c>
      <c r="H138" s="2" t="s">
        <v>643</v>
      </c>
      <c r="I138" s="2" t="s">
        <v>937</v>
      </c>
      <c r="J138" s="2" t="s">
        <v>938</v>
      </c>
      <c r="K138" s="2" t="s">
        <v>58</v>
      </c>
      <c r="L138" s="2" t="n">
        <v>3</v>
      </c>
      <c r="M138" s="2" t="s">
        <v>59</v>
      </c>
      <c r="N138" s="2"/>
      <c r="O138" s="2" t="s">
        <v>562</v>
      </c>
      <c r="P138" s="2" t="s">
        <v>30</v>
      </c>
      <c r="Q138" s="2" t="s">
        <v>939</v>
      </c>
      <c r="R138" s="2" t="s">
        <v>32</v>
      </c>
    </row>
    <row r="139" customFormat="false" ht="15" hidden="false" customHeight="false" outlineLevel="0" collapsed="false">
      <c r="A139" s="2" t="s">
        <v>940</v>
      </c>
      <c r="B139" s="2" t="s">
        <v>941</v>
      </c>
      <c r="C139" s="2" t="s">
        <v>942</v>
      </c>
      <c r="D139" s="2" t="s">
        <v>107</v>
      </c>
      <c r="E139" s="2" t="s">
        <v>943</v>
      </c>
      <c r="F139" s="2" t="s">
        <v>292</v>
      </c>
      <c r="G139" s="2" t="s">
        <v>716</v>
      </c>
      <c r="H139" s="2" t="s">
        <v>643</v>
      </c>
      <c r="I139" s="2" t="s">
        <v>944</v>
      </c>
      <c r="J139" s="2" t="s">
        <v>556</v>
      </c>
      <c r="K139" s="2" t="s">
        <v>58</v>
      </c>
      <c r="L139" s="2" t="n">
        <v>3</v>
      </c>
      <c r="M139" s="2" t="s">
        <v>59</v>
      </c>
      <c r="N139" s="2"/>
      <c r="O139" s="2" t="s">
        <v>619</v>
      </c>
      <c r="P139" s="2" t="s">
        <v>102</v>
      </c>
      <c r="Q139" s="2" t="s">
        <v>945</v>
      </c>
      <c r="R139" s="2" t="s">
        <v>32</v>
      </c>
    </row>
    <row r="140" customFormat="false" ht="15" hidden="false" customHeight="false" outlineLevel="0" collapsed="false">
      <c r="A140" s="2" t="s">
        <v>946</v>
      </c>
      <c r="B140" s="2" t="s">
        <v>947</v>
      </c>
      <c r="C140" s="2" t="s">
        <v>35</v>
      </c>
      <c r="D140" s="2" t="s">
        <v>107</v>
      </c>
      <c r="E140" s="2" t="s">
        <v>948</v>
      </c>
      <c r="F140" s="2" t="s">
        <v>292</v>
      </c>
      <c r="G140" s="2" t="s">
        <v>716</v>
      </c>
      <c r="H140" s="2" t="s">
        <v>643</v>
      </c>
      <c r="I140" s="2" t="s">
        <v>949</v>
      </c>
      <c r="J140" s="2" t="s">
        <v>950</v>
      </c>
      <c r="K140" s="2" t="s">
        <v>58</v>
      </c>
      <c r="L140" s="2" t="n">
        <v>3</v>
      </c>
      <c r="M140" s="2" t="s">
        <v>59</v>
      </c>
      <c r="N140" s="2" t="s">
        <v>951</v>
      </c>
      <c r="O140" s="2" t="s">
        <v>952</v>
      </c>
      <c r="P140" s="2" t="s">
        <v>102</v>
      </c>
      <c r="Q140" s="2" t="s">
        <v>953</v>
      </c>
      <c r="R140" s="2" t="s">
        <v>32</v>
      </c>
    </row>
    <row r="141" customFormat="false" ht="15" hidden="false" customHeight="false" outlineLevel="0" collapsed="false">
      <c r="A141" s="2" t="s">
        <v>954</v>
      </c>
      <c r="B141" s="2" t="s">
        <v>955</v>
      </c>
      <c r="C141" s="2" t="s">
        <v>956</v>
      </c>
      <c r="D141" s="2" t="s">
        <v>107</v>
      </c>
      <c r="E141" s="2" t="s">
        <v>957</v>
      </c>
      <c r="F141" s="2" t="s">
        <v>292</v>
      </c>
      <c r="G141" s="2" t="s">
        <v>716</v>
      </c>
      <c r="H141" s="2" t="s">
        <v>643</v>
      </c>
      <c r="I141" s="2" t="s">
        <v>944</v>
      </c>
      <c r="J141" s="2" t="s">
        <v>39</v>
      </c>
      <c r="K141" s="2" t="s">
        <v>58</v>
      </c>
      <c r="L141" s="2" t="n">
        <v>3</v>
      </c>
      <c r="M141" s="2" t="s">
        <v>59</v>
      </c>
      <c r="N141" s="2"/>
      <c r="O141" s="2" t="s">
        <v>958</v>
      </c>
      <c r="P141" s="2" t="s">
        <v>30</v>
      </c>
      <c r="Q141" s="2" t="s">
        <v>959</v>
      </c>
      <c r="R141" s="2" t="s">
        <v>32</v>
      </c>
    </row>
    <row r="142" customFormat="false" ht="15" hidden="false" customHeight="false" outlineLevel="0" collapsed="false">
      <c r="A142" s="2" t="s">
        <v>960</v>
      </c>
      <c r="B142" s="2" t="s">
        <v>961</v>
      </c>
      <c r="C142" s="2" t="s">
        <v>115</v>
      </c>
      <c r="D142" s="2" t="s">
        <v>107</v>
      </c>
      <c r="E142" s="2" t="s">
        <v>962</v>
      </c>
      <c r="F142" s="2" t="s">
        <v>292</v>
      </c>
      <c r="G142" s="2" t="s">
        <v>716</v>
      </c>
      <c r="H142" s="2" t="s">
        <v>643</v>
      </c>
      <c r="I142" s="2" t="s">
        <v>944</v>
      </c>
      <c r="J142" s="2" t="s">
        <v>963</v>
      </c>
      <c r="K142" s="2" t="s">
        <v>58</v>
      </c>
      <c r="L142" s="2" t="n">
        <v>3</v>
      </c>
      <c r="M142" s="2" t="s">
        <v>59</v>
      </c>
      <c r="N142" s="2"/>
      <c r="O142" s="2" t="s">
        <v>964</v>
      </c>
      <c r="P142" s="2" t="s">
        <v>30</v>
      </c>
      <c r="Q142" s="2" t="s">
        <v>965</v>
      </c>
      <c r="R142" s="2" t="s">
        <v>32</v>
      </c>
    </row>
    <row r="143" customFormat="false" ht="15" hidden="false" customHeight="false" outlineLevel="0" collapsed="false">
      <c r="A143" s="2" t="s">
        <v>966</v>
      </c>
      <c r="B143" s="2" t="s">
        <v>967</v>
      </c>
      <c r="C143" s="2" t="s">
        <v>968</v>
      </c>
      <c r="D143" s="2" t="s">
        <v>107</v>
      </c>
      <c r="E143" s="2" t="s">
        <v>969</v>
      </c>
      <c r="F143" s="2" t="s">
        <v>292</v>
      </c>
      <c r="G143" s="2" t="s">
        <v>716</v>
      </c>
      <c r="H143" s="2" t="s">
        <v>643</v>
      </c>
      <c r="I143" s="2" t="s">
        <v>944</v>
      </c>
      <c r="J143" s="2" t="s">
        <v>963</v>
      </c>
      <c r="K143" s="2" t="s">
        <v>58</v>
      </c>
      <c r="L143" s="2" t="n">
        <v>3</v>
      </c>
      <c r="M143" s="2" t="s">
        <v>59</v>
      </c>
      <c r="N143" s="2"/>
      <c r="O143" s="2" t="s">
        <v>970</v>
      </c>
      <c r="P143" s="2" t="s">
        <v>30</v>
      </c>
      <c r="Q143" s="2" t="s">
        <v>971</v>
      </c>
      <c r="R143" s="2" t="s">
        <v>32</v>
      </c>
    </row>
    <row r="144" customFormat="false" ht="15" hidden="false" customHeight="false" outlineLevel="0" collapsed="false">
      <c r="A144" s="2" t="s">
        <v>972</v>
      </c>
      <c r="B144" s="2" t="s">
        <v>973</v>
      </c>
      <c r="C144" s="2" t="s">
        <v>115</v>
      </c>
      <c r="D144" s="2" t="s">
        <v>107</v>
      </c>
      <c r="E144" s="2" t="s">
        <v>974</v>
      </c>
      <c r="F144" s="2" t="s">
        <v>292</v>
      </c>
      <c r="G144" s="2" t="s">
        <v>716</v>
      </c>
      <c r="H144" s="2" t="s">
        <v>643</v>
      </c>
      <c r="I144" s="2" t="s">
        <v>944</v>
      </c>
      <c r="J144" s="2" t="s">
        <v>963</v>
      </c>
      <c r="K144" s="2" t="s">
        <v>58</v>
      </c>
      <c r="L144" s="2" t="n">
        <v>3</v>
      </c>
      <c r="M144" s="2" t="s">
        <v>59</v>
      </c>
      <c r="N144" s="2"/>
      <c r="O144" s="2" t="s">
        <v>975</v>
      </c>
      <c r="P144" s="2" t="s">
        <v>102</v>
      </c>
      <c r="Q144" s="2" t="s">
        <v>976</v>
      </c>
      <c r="R144" s="2" t="s">
        <v>32</v>
      </c>
    </row>
    <row r="145" customFormat="false" ht="15" hidden="false" customHeight="false" outlineLevel="0" collapsed="false">
      <c r="A145" s="2" t="s">
        <v>977</v>
      </c>
      <c r="B145" s="2" t="s">
        <v>978</v>
      </c>
      <c r="C145" s="2" t="s">
        <v>52</v>
      </c>
      <c r="D145" s="2" t="s">
        <v>107</v>
      </c>
      <c r="E145" s="2" t="s">
        <v>979</v>
      </c>
      <c r="F145" s="2" t="s">
        <v>292</v>
      </c>
      <c r="G145" s="2" t="s">
        <v>716</v>
      </c>
      <c r="H145" s="2" t="s">
        <v>643</v>
      </c>
      <c r="I145" s="2" t="s">
        <v>944</v>
      </c>
      <c r="J145" s="2" t="s">
        <v>39</v>
      </c>
      <c r="K145" s="2" t="s">
        <v>58</v>
      </c>
      <c r="L145" s="2" t="n">
        <v>3</v>
      </c>
      <c r="M145" s="2" t="s">
        <v>59</v>
      </c>
      <c r="N145" s="2"/>
      <c r="O145" s="2" t="s">
        <v>562</v>
      </c>
      <c r="P145" s="2" t="s">
        <v>30</v>
      </c>
      <c r="Q145" s="2" t="s">
        <v>980</v>
      </c>
      <c r="R145" s="2" t="s">
        <v>32</v>
      </c>
    </row>
    <row r="146" customFormat="false" ht="15" hidden="false" customHeight="false" outlineLevel="0" collapsed="false">
      <c r="A146" s="2" t="s">
        <v>981</v>
      </c>
      <c r="B146" s="2" t="s">
        <v>982</v>
      </c>
      <c r="C146" s="2" t="s">
        <v>513</v>
      </c>
      <c r="D146" s="2" t="s">
        <v>107</v>
      </c>
      <c r="E146" s="2" t="s">
        <v>544</v>
      </c>
      <c r="F146" s="2" t="s">
        <v>292</v>
      </c>
      <c r="G146" s="2" t="s">
        <v>716</v>
      </c>
      <c r="H146" s="2" t="s">
        <v>643</v>
      </c>
      <c r="I146" s="2" t="s">
        <v>983</v>
      </c>
      <c r="J146" s="2" t="s">
        <v>907</v>
      </c>
      <c r="K146" s="2" t="s">
        <v>58</v>
      </c>
      <c r="L146" s="2" t="n">
        <v>3</v>
      </c>
      <c r="M146" s="2" t="s">
        <v>59</v>
      </c>
      <c r="N146" s="2"/>
      <c r="O146" s="2" t="s">
        <v>984</v>
      </c>
      <c r="P146" s="2" t="s">
        <v>102</v>
      </c>
      <c r="Q146" s="2" t="s">
        <v>985</v>
      </c>
      <c r="R146" s="2" t="s">
        <v>261</v>
      </c>
    </row>
    <row r="147" customFormat="false" ht="15" hidden="false" customHeight="false" outlineLevel="0" collapsed="false">
      <c r="A147" s="2" t="s">
        <v>986</v>
      </c>
      <c r="B147" s="2" t="s">
        <v>987</v>
      </c>
      <c r="C147" s="2" t="s">
        <v>513</v>
      </c>
      <c r="D147" s="2" t="s">
        <v>107</v>
      </c>
      <c r="E147" s="2" t="s">
        <v>988</v>
      </c>
      <c r="F147" s="2" t="s">
        <v>292</v>
      </c>
      <c r="G147" s="2" t="s">
        <v>716</v>
      </c>
      <c r="H147" s="2" t="s">
        <v>643</v>
      </c>
      <c r="I147" s="2" t="s">
        <v>989</v>
      </c>
      <c r="J147" s="2" t="s">
        <v>990</v>
      </c>
      <c r="K147" s="2" t="s">
        <v>58</v>
      </c>
      <c r="L147" s="2" t="n">
        <v>3</v>
      </c>
      <c r="M147" s="2" t="s">
        <v>59</v>
      </c>
      <c r="N147" s="2"/>
      <c r="O147" s="2" t="s">
        <v>562</v>
      </c>
      <c r="P147" s="2" t="s">
        <v>30</v>
      </c>
      <c r="Q147" s="2" t="s">
        <v>991</v>
      </c>
      <c r="R147" s="2" t="s">
        <v>32</v>
      </c>
    </row>
    <row r="148" customFormat="false" ht="15" hidden="false" customHeight="false" outlineLevel="0" collapsed="false">
      <c r="A148" s="2" t="s">
        <v>992</v>
      </c>
      <c r="B148" s="2" t="s">
        <v>892</v>
      </c>
      <c r="C148" s="2" t="s">
        <v>355</v>
      </c>
      <c r="D148" s="2" t="s">
        <v>107</v>
      </c>
      <c r="E148" s="2" t="s">
        <v>993</v>
      </c>
      <c r="F148" s="2" t="s">
        <v>219</v>
      </c>
      <c r="G148" s="2" t="s">
        <v>716</v>
      </c>
      <c r="H148" s="2" t="s">
        <v>643</v>
      </c>
      <c r="I148" s="2" t="s">
        <v>994</v>
      </c>
      <c r="J148" s="2" t="s">
        <v>995</v>
      </c>
      <c r="K148" s="2" t="s">
        <v>58</v>
      </c>
      <c r="L148" s="2" t="n">
        <v>3</v>
      </c>
      <c r="M148" s="2" t="s">
        <v>29</v>
      </c>
      <c r="N148" s="2"/>
      <c r="O148" s="2" t="s">
        <v>619</v>
      </c>
      <c r="P148" s="2" t="s">
        <v>102</v>
      </c>
      <c r="Q148" s="2" t="s">
        <v>996</v>
      </c>
      <c r="R148" s="2" t="s">
        <v>32</v>
      </c>
    </row>
    <row r="149" customFormat="false" ht="15" hidden="false" customHeight="false" outlineLevel="0" collapsed="false">
      <c r="A149" s="2" t="s">
        <v>997</v>
      </c>
      <c r="B149" s="2" t="s">
        <v>998</v>
      </c>
      <c r="C149" s="2" t="s">
        <v>90</v>
      </c>
      <c r="D149" s="2" t="s">
        <v>107</v>
      </c>
      <c r="E149" s="2" t="s">
        <v>999</v>
      </c>
      <c r="F149" s="2" t="s">
        <v>253</v>
      </c>
      <c r="G149" s="2" t="s">
        <v>716</v>
      </c>
      <c r="H149" s="2" t="s">
        <v>643</v>
      </c>
      <c r="I149" s="2" t="s">
        <v>1000</v>
      </c>
      <c r="J149" s="2" t="s">
        <v>1001</v>
      </c>
      <c r="K149" s="2" t="s">
        <v>58</v>
      </c>
      <c r="L149" s="2" t="n">
        <v>3</v>
      </c>
      <c r="M149" s="2" t="s">
        <v>59</v>
      </c>
      <c r="N149" s="2"/>
      <c r="O149" s="2" t="s">
        <v>619</v>
      </c>
      <c r="P149" s="2" t="s">
        <v>102</v>
      </c>
      <c r="Q149" s="2" t="s">
        <v>1002</v>
      </c>
      <c r="R149" s="2" t="s">
        <v>32</v>
      </c>
    </row>
    <row r="150" customFormat="false" ht="15" hidden="false" customHeight="false" outlineLevel="0" collapsed="false">
      <c r="A150" s="2" t="s">
        <v>1003</v>
      </c>
      <c r="B150" s="2" t="s">
        <v>1004</v>
      </c>
      <c r="C150" s="2" t="s">
        <v>52</v>
      </c>
      <c r="D150" s="2" t="s">
        <v>107</v>
      </c>
      <c r="E150" s="2" t="s">
        <v>1005</v>
      </c>
      <c r="F150" s="2" t="s">
        <v>219</v>
      </c>
      <c r="G150" s="2" t="s">
        <v>716</v>
      </c>
      <c r="H150" s="2" t="s">
        <v>643</v>
      </c>
      <c r="I150" s="2" t="s">
        <v>1006</v>
      </c>
      <c r="J150" s="2" t="s">
        <v>1007</v>
      </c>
      <c r="K150" s="2" t="s">
        <v>58</v>
      </c>
      <c r="L150" s="2" t="n">
        <v>3</v>
      </c>
      <c r="M150" s="2" t="s">
        <v>29</v>
      </c>
      <c r="N150" s="2"/>
      <c r="O150" s="2" t="s">
        <v>619</v>
      </c>
      <c r="P150" s="2" t="s">
        <v>30</v>
      </c>
      <c r="Q150" s="2" t="s">
        <v>1008</v>
      </c>
      <c r="R150" s="2" t="s">
        <v>32</v>
      </c>
    </row>
    <row r="151" customFormat="false" ht="15" hidden="false" customHeight="false" outlineLevel="0" collapsed="false">
      <c r="A151" s="2" t="s">
        <v>1009</v>
      </c>
      <c r="B151" s="2" t="s">
        <v>1010</v>
      </c>
      <c r="C151" s="2" t="s">
        <v>1011</v>
      </c>
      <c r="D151" s="2" t="s">
        <v>107</v>
      </c>
      <c r="E151" s="2" t="s">
        <v>1012</v>
      </c>
      <c r="F151" s="2" t="s">
        <v>1013</v>
      </c>
      <c r="G151" s="2" t="s">
        <v>716</v>
      </c>
      <c r="H151" s="2" t="s">
        <v>643</v>
      </c>
      <c r="I151" s="2" t="s">
        <v>1014</v>
      </c>
      <c r="J151" s="2" t="s">
        <v>1015</v>
      </c>
      <c r="K151" s="2" t="s">
        <v>69</v>
      </c>
      <c r="L151" s="2" t="n">
        <v>4</v>
      </c>
      <c r="M151" s="2" t="s">
        <v>59</v>
      </c>
      <c r="N151" s="2"/>
      <c r="O151" s="2" t="s">
        <v>1016</v>
      </c>
      <c r="P151" s="2" t="s">
        <v>30</v>
      </c>
      <c r="Q151" s="2" t="s">
        <v>1017</v>
      </c>
      <c r="R151" s="2" t="s">
        <v>32</v>
      </c>
    </row>
    <row r="152" customFormat="false" ht="15" hidden="false" customHeight="false" outlineLevel="0" collapsed="false">
      <c r="A152" s="2" t="s">
        <v>1018</v>
      </c>
      <c r="B152" s="2" t="s">
        <v>1019</v>
      </c>
      <c r="C152" s="2" t="s">
        <v>323</v>
      </c>
      <c r="D152" s="2" t="s">
        <v>107</v>
      </c>
      <c r="E152" s="2" t="s">
        <v>1020</v>
      </c>
      <c r="F152" s="2" t="s">
        <v>292</v>
      </c>
      <c r="G152" s="2" t="s">
        <v>716</v>
      </c>
      <c r="H152" s="2" t="s">
        <v>643</v>
      </c>
      <c r="I152" s="2" t="s">
        <v>1021</v>
      </c>
      <c r="J152" s="2" t="s">
        <v>1022</v>
      </c>
      <c r="K152" s="2" t="s">
        <v>69</v>
      </c>
      <c r="L152" s="2" t="n">
        <v>4</v>
      </c>
      <c r="M152" s="2" t="s">
        <v>59</v>
      </c>
      <c r="N152" s="2"/>
      <c r="O152" s="2" t="s">
        <v>1023</v>
      </c>
      <c r="P152" s="2" t="s">
        <v>30</v>
      </c>
      <c r="Q152" s="2" t="s">
        <v>1024</v>
      </c>
      <c r="R152" s="2" t="s">
        <v>32</v>
      </c>
    </row>
    <row r="153" customFormat="false" ht="15" hidden="false" customHeight="false" outlineLevel="0" collapsed="false">
      <c r="A153" s="2" t="s">
        <v>1025</v>
      </c>
      <c r="B153" s="2" t="s">
        <v>1026</v>
      </c>
      <c r="C153" s="2" t="s">
        <v>513</v>
      </c>
      <c r="D153" s="2" t="s">
        <v>107</v>
      </c>
      <c r="E153" s="2" t="s">
        <v>544</v>
      </c>
      <c r="F153" s="2" t="s">
        <v>292</v>
      </c>
      <c r="G153" s="2" t="s">
        <v>716</v>
      </c>
      <c r="H153" s="2" t="s">
        <v>643</v>
      </c>
      <c r="I153" s="2" t="s">
        <v>1027</v>
      </c>
      <c r="J153" s="2" t="s">
        <v>556</v>
      </c>
      <c r="K153" s="2" t="s">
        <v>69</v>
      </c>
      <c r="L153" s="2" t="n">
        <v>4</v>
      </c>
      <c r="M153" s="2" t="s">
        <v>59</v>
      </c>
      <c r="N153" s="2" t="s">
        <v>1028</v>
      </c>
      <c r="O153" s="2" t="s">
        <v>562</v>
      </c>
      <c r="P153" s="2" t="s">
        <v>30</v>
      </c>
      <c r="Q153" s="2" t="s">
        <v>1029</v>
      </c>
      <c r="R153" s="2" t="s">
        <v>32</v>
      </c>
    </row>
    <row r="154" customFormat="false" ht="15" hidden="false" customHeight="false" outlineLevel="0" collapsed="false">
      <c r="A154" s="2" t="s">
        <v>1030</v>
      </c>
      <c r="B154" s="2" t="s">
        <v>1031</v>
      </c>
      <c r="C154" s="2" t="s">
        <v>35</v>
      </c>
      <c r="D154" s="2" t="s">
        <v>107</v>
      </c>
      <c r="E154" s="2" t="s">
        <v>1032</v>
      </c>
      <c r="F154" s="2" t="s">
        <v>253</v>
      </c>
      <c r="G154" s="2" t="s">
        <v>716</v>
      </c>
      <c r="H154" s="2" t="s">
        <v>643</v>
      </c>
      <c r="I154" s="2" t="s">
        <v>1033</v>
      </c>
      <c r="J154" s="2" t="s">
        <v>1034</v>
      </c>
      <c r="K154" s="2" t="s">
        <v>69</v>
      </c>
      <c r="L154" s="2" t="n">
        <v>4</v>
      </c>
      <c r="M154" s="2" t="s">
        <v>59</v>
      </c>
      <c r="N154" s="2" t="s">
        <v>233</v>
      </c>
      <c r="O154" s="2" t="s">
        <v>619</v>
      </c>
      <c r="P154" s="2" t="s">
        <v>30</v>
      </c>
      <c r="Q154" s="2" t="s">
        <v>1035</v>
      </c>
      <c r="R154" s="2" t="s">
        <v>32</v>
      </c>
    </row>
    <row r="155" customFormat="false" ht="15" hidden="false" customHeight="false" outlineLevel="0" collapsed="false">
      <c r="A155" s="2" t="s">
        <v>1036</v>
      </c>
      <c r="B155" s="2" t="s">
        <v>941</v>
      </c>
      <c r="C155" s="2" t="s">
        <v>942</v>
      </c>
      <c r="D155" s="2" t="s">
        <v>107</v>
      </c>
      <c r="E155" s="2" t="s">
        <v>1037</v>
      </c>
      <c r="F155" s="2" t="s">
        <v>253</v>
      </c>
      <c r="G155" s="2" t="s">
        <v>716</v>
      </c>
      <c r="H155" s="2" t="s">
        <v>643</v>
      </c>
      <c r="I155" s="2" t="s">
        <v>1038</v>
      </c>
      <c r="J155" s="2" t="s">
        <v>1039</v>
      </c>
      <c r="K155" s="2" t="s">
        <v>69</v>
      </c>
      <c r="L155" s="2" t="n">
        <v>4</v>
      </c>
      <c r="M155" s="2" t="s">
        <v>59</v>
      </c>
      <c r="N155" s="2" t="n">
        <v>59</v>
      </c>
      <c r="O155" s="2" t="s">
        <v>1040</v>
      </c>
      <c r="P155" s="2" t="s">
        <v>30</v>
      </c>
      <c r="Q155" s="2" t="s">
        <v>1041</v>
      </c>
      <c r="R155" s="2" t="s">
        <v>32</v>
      </c>
    </row>
    <row r="156" customFormat="false" ht="15" hidden="false" customHeight="false" outlineLevel="0" collapsed="false">
      <c r="A156" s="2" t="s">
        <v>1042</v>
      </c>
      <c r="B156" s="2" t="s">
        <v>1043</v>
      </c>
      <c r="C156" s="2" t="s">
        <v>355</v>
      </c>
      <c r="D156" s="2" t="s">
        <v>107</v>
      </c>
      <c r="E156" s="2" t="s">
        <v>1044</v>
      </c>
      <c r="F156" s="2" t="s">
        <v>253</v>
      </c>
      <c r="G156" s="2" t="s">
        <v>716</v>
      </c>
      <c r="H156" s="2" t="s">
        <v>643</v>
      </c>
      <c r="I156" s="2" t="s">
        <v>1045</v>
      </c>
      <c r="J156" s="2" t="s">
        <v>1039</v>
      </c>
      <c r="K156" s="2" t="s">
        <v>69</v>
      </c>
      <c r="L156" s="2" t="n">
        <v>4</v>
      </c>
      <c r="M156" s="2" t="s">
        <v>59</v>
      </c>
      <c r="N156" s="2"/>
      <c r="O156" s="2" t="s">
        <v>1046</v>
      </c>
      <c r="P156" s="2" t="s">
        <v>102</v>
      </c>
      <c r="Q156" s="2" t="s">
        <v>1047</v>
      </c>
      <c r="R156" s="2" t="s">
        <v>32</v>
      </c>
    </row>
    <row r="157" customFormat="false" ht="15" hidden="false" customHeight="false" outlineLevel="0" collapsed="false">
      <c r="A157" s="2" t="s">
        <v>1048</v>
      </c>
      <c r="B157" s="2" t="s">
        <v>1049</v>
      </c>
      <c r="C157" s="2" t="s">
        <v>1050</v>
      </c>
      <c r="D157" s="2" t="s">
        <v>107</v>
      </c>
      <c r="E157" s="2" t="s">
        <v>1051</v>
      </c>
      <c r="F157" s="2" t="s">
        <v>219</v>
      </c>
      <c r="G157" s="2" t="s">
        <v>716</v>
      </c>
      <c r="H157" s="2" t="s">
        <v>643</v>
      </c>
      <c r="I157" s="2" t="s">
        <v>196</v>
      </c>
      <c r="J157" s="2" t="s">
        <v>27</v>
      </c>
      <c r="K157" s="2" t="s">
        <v>69</v>
      </c>
      <c r="L157" s="2" t="n">
        <v>4</v>
      </c>
      <c r="M157" s="2" t="s">
        <v>29</v>
      </c>
      <c r="N157" s="2"/>
      <c r="O157" s="2" t="s">
        <v>619</v>
      </c>
      <c r="P157" s="2" t="s">
        <v>30</v>
      </c>
      <c r="Q157" s="2" t="s">
        <v>1052</v>
      </c>
      <c r="R157" s="2" t="s">
        <v>32</v>
      </c>
    </row>
    <row r="158" customFormat="false" ht="15" hidden="false" customHeight="false" outlineLevel="0" collapsed="false">
      <c r="A158" s="2" t="s">
        <v>1053</v>
      </c>
      <c r="B158" s="2" t="s">
        <v>1054</v>
      </c>
      <c r="C158" s="2" t="s">
        <v>20</v>
      </c>
      <c r="D158" s="2" t="s">
        <v>107</v>
      </c>
      <c r="E158" s="2" t="s">
        <v>1055</v>
      </c>
      <c r="F158" s="2" t="s">
        <v>253</v>
      </c>
      <c r="G158" s="2" t="s">
        <v>716</v>
      </c>
      <c r="H158" s="2" t="s">
        <v>643</v>
      </c>
      <c r="I158" s="2" t="s">
        <v>196</v>
      </c>
      <c r="J158" s="2" t="s">
        <v>27</v>
      </c>
      <c r="K158" s="2" t="s">
        <v>69</v>
      </c>
      <c r="L158" s="2" t="n">
        <v>4</v>
      </c>
      <c r="M158" s="2" t="s">
        <v>59</v>
      </c>
      <c r="N158" s="2"/>
      <c r="O158" s="2" t="s">
        <v>619</v>
      </c>
      <c r="P158" s="2" t="s">
        <v>30</v>
      </c>
      <c r="Q158" s="2" t="s">
        <v>1056</v>
      </c>
      <c r="R158" s="2" t="s">
        <v>32</v>
      </c>
    </row>
    <row r="159" customFormat="false" ht="15" hidden="false" customHeight="false" outlineLevel="0" collapsed="false">
      <c r="A159" s="2" t="s">
        <v>1057</v>
      </c>
      <c r="B159" s="2" t="s">
        <v>1058</v>
      </c>
      <c r="C159" s="2" t="s">
        <v>455</v>
      </c>
      <c r="D159" s="2" t="s">
        <v>107</v>
      </c>
      <c r="E159" s="2" t="s">
        <v>1059</v>
      </c>
      <c r="F159" s="2" t="s">
        <v>253</v>
      </c>
      <c r="G159" s="2" t="s">
        <v>716</v>
      </c>
      <c r="H159" s="2" t="s">
        <v>643</v>
      </c>
      <c r="I159" s="2" t="s">
        <v>196</v>
      </c>
      <c r="J159" s="2" t="s">
        <v>27</v>
      </c>
      <c r="K159" s="2" t="s">
        <v>69</v>
      </c>
      <c r="L159" s="2" t="n">
        <v>4</v>
      </c>
      <c r="M159" s="2" t="s">
        <v>29</v>
      </c>
      <c r="N159" s="2"/>
      <c r="O159" s="2" t="s">
        <v>619</v>
      </c>
      <c r="P159" s="2" t="s">
        <v>30</v>
      </c>
      <c r="Q159" s="2" t="s">
        <v>1060</v>
      </c>
      <c r="R159" s="2" t="s">
        <v>32</v>
      </c>
    </row>
    <row r="160" customFormat="false" ht="15" hidden="false" customHeight="false" outlineLevel="0" collapsed="false">
      <c r="A160" s="2" t="s">
        <v>1061</v>
      </c>
      <c r="B160" s="2" t="s">
        <v>1062</v>
      </c>
      <c r="C160" s="2" t="s">
        <v>1050</v>
      </c>
      <c r="D160" s="2" t="s">
        <v>107</v>
      </c>
      <c r="E160" s="2" t="s">
        <v>1063</v>
      </c>
      <c r="F160" s="2" t="s">
        <v>253</v>
      </c>
      <c r="G160" s="2" t="s">
        <v>716</v>
      </c>
      <c r="H160" s="2" t="s">
        <v>643</v>
      </c>
      <c r="I160" s="2" t="s">
        <v>196</v>
      </c>
      <c r="J160" s="2" t="s">
        <v>27</v>
      </c>
      <c r="K160" s="2" t="s">
        <v>69</v>
      </c>
      <c r="L160" s="2" t="n">
        <v>4</v>
      </c>
      <c r="M160" s="2" t="s">
        <v>29</v>
      </c>
      <c r="N160" s="2" t="n">
        <v>9</v>
      </c>
      <c r="O160" s="2" t="s">
        <v>1064</v>
      </c>
      <c r="P160" s="2" t="s">
        <v>30</v>
      </c>
      <c r="Q160" s="2" t="s">
        <v>1065</v>
      </c>
      <c r="R160" s="2" t="s">
        <v>32</v>
      </c>
    </row>
    <row r="161" customFormat="false" ht="15" hidden="false" customHeight="false" outlineLevel="0" collapsed="false">
      <c r="A161" s="2" t="s">
        <v>1066</v>
      </c>
      <c r="B161" s="2" t="s">
        <v>1067</v>
      </c>
      <c r="C161" s="2" t="s">
        <v>299</v>
      </c>
      <c r="D161" s="2" t="s">
        <v>107</v>
      </c>
      <c r="E161" s="2" t="s">
        <v>1068</v>
      </c>
      <c r="F161" s="2" t="s">
        <v>253</v>
      </c>
      <c r="G161" s="2" t="s">
        <v>716</v>
      </c>
      <c r="H161" s="2" t="s">
        <v>643</v>
      </c>
      <c r="I161" s="2" t="s">
        <v>196</v>
      </c>
      <c r="J161" s="2" t="s">
        <v>27</v>
      </c>
      <c r="K161" s="2" t="s">
        <v>69</v>
      </c>
      <c r="L161" s="2" t="n">
        <v>4</v>
      </c>
      <c r="M161" s="2" t="s">
        <v>59</v>
      </c>
      <c r="N161" s="2"/>
      <c r="O161" s="2" t="s">
        <v>619</v>
      </c>
      <c r="P161" s="2" t="s">
        <v>30</v>
      </c>
      <c r="Q161" s="2" t="s">
        <v>1069</v>
      </c>
      <c r="R161" s="2" t="s">
        <v>32</v>
      </c>
    </row>
    <row r="162" customFormat="false" ht="15" hidden="false" customHeight="false" outlineLevel="0" collapsed="false">
      <c r="A162" s="2" t="s">
        <v>1070</v>
      </c>
      <c r="B162" s="2" t="s">
        <v>1071</v>
      </c>
      <c r="C162" s="2" t="s">
        <v>427</v>
      </c>
      <c r="D162" s="2" t="s">
        <v>107</v>
      </c>
      <c r="E162" s="2" t="s">
        <v>635</v>
      </c>
      <c r="F162" s="2" t="s">
        <v>253</v>
      </c>
      <c r="G162" s="2" t="s">
        <v>716</v>
      </c>
      <c r="H162" s="2" t="s">
        <v>643</v>
      </c>
      <c r="I162" s="2" t="s">
        <v>196</v>
      </c>
      <c r="J162" s="2" t="s">
        <v>27</v>
      </c>
      <c r="K162" s="2" t="s">
        <v>69</v>
      </c>
      <c r="L162" s="2" t="n">
        <v>4</v>
      </c>
      <c r="M162" s="2" t="s">
        <v>29</v>
      </c>
      <c r="N162" s="2" t="n">
        <v>4</v>
      </c>
      <c r="O162" s="2" t="s">
        <v>1072</v>
      </c>
      <c r="P162" s="2" t="s">
        <v>102</v>
      </c>
      <c r="Q162" s="2" t="s">
        <v>1073</v>
      </c>
      <c r="R162" s="2" t="s">
        <v>32</v>
      </c>
    </row>
    <row r="163" customFormat="false" ht="15" hidden="false" customHeight="false" outlineLevel="0" collapsed="false">
      <c r="A163" s="2" t="s">
        <v>1074</v>
      </c>
      <c r="B163" s="2" t="s">
        <v>1075</v>
      </c>
      <c r="C163" s="2" t="s">
        <v>35</v>
      </c>
      <c r="D163" s="2" t="s">
        <v>107</v>
      </c>
      <c r="E163" s="2" t="s">
        <v>1076</v>
      </c>
      <c r="F163" s="2" t="s">
        <v>292</v>
      </c>
      <c r="G163" s="2" t="s">
        <v>716</v>
      </c>
      <c r="H163" s="2" t="s">
        <v>643</v>
      </c>
      <c r="I163" s="2" t="s">
        <v>1077</v>
      </c>
      <c r="J163" s="2" t="s">
        <v>1078</v>
      </c>
      <c r="K163" s="2" t="s">
        <v>84</v>
      </c>
      <c r="L163" s="2" t="n">
        <v>5</v>
      </c>
      <c r="M163" s="2" t="s">
        <v>866</v>
      </c>
      <c r="N163" s="2"/>
      <c r="O163" s="2" t="s">
        <v>1079</v>
      </c>
      <c r="P163" s="2" t="s">
        <v>30</v>
      </c>
      <c r="Q163" s="2" t="s">
        <v>1080</v>
      </c>
      <c r="R163" s="2" t="s">
        <v>32</v>
      </c>
    </row>
    <row r="164" customFormat="false" ht="15" hidden="false" customHeight="false" outlineLevel="0" collapsed="false">
      <c r="A164" s="2" t="s">
        <v>1081</v>
      </c>
      <c r="B164" s="2" t="s">
        <v>1082</v>
      </c>
      <c r="C164" s="2" t="s">
        <v>52</v>
      </c>
      <c r="D164" s="2" t="s">
        <v>107</v>
      </c>
      <c r="E164" s="2" t="s">
        <v>1083</v>
      </c>
      <c r="F164" s="2" t="s">
        <v>292</v>
      </c>
      <c r="G164" s="2" t="s">
        <v>716</v>
      </c>
      <c r="H164" s="2" t="s">
        <v>643</v>
      </c>
      <c r="I164" s="2" t="s">
        <v>1084</v>
      </c>
      <c r="J164" s="2" t="s">
        <v>1085</v>
      </c>
      <c r="K164" s="2" t="s">
        <v>84</v>
      </c>
      <c r="L164" s="2" t="n">
        <v>5</v>
      </c>
      <c r="M164" s="2" t="s">
        <v>866</v>
      </c>
      <c r="N164" s="2" t="s">
        <v>1086</v>
      </c>
      <c r="O164" s="2" t="s">
        <v>1087</v>
      </c>
      <c r="P164" s="2" t="s">
        <v>30</v>
      </c>
      <c r="Q164" s="2" t="s">
        <v>1088</v>
      </c>
      <c r="R164" s="2" t="s">
        <v>32</v>
      </c>
    </row>
    <row r="165" customFormat="false" ht="15" hidden="false" customHeight="false" outlineLevel="0" collapsed="false">
      <c r="A165" s="2" t="s">
        <v>1089</v>
      </c>
      <c r="B165" s="2" t="s">
        <v>1090</v>
      </c>
      <c r="C165" s="2" t="s">
        <v>73</v>
      </c>
      <c r="D165" s="2" t="s">
        <v>107</v>
      </c>
      <c r="E165" s="2" t="s">
        <v>1091</v>
      </c>
      <c r="F165" s="2" t="s">
        <v>292</v>
      </c>
      <c r="G165" s="2" t="s">
        <v>716</v>
      </c>
      <c r="H165" s="2" t="s">
        <v>1092</v>
      </c>
      <c r="I165" s="2" t="s">
        <v>398</v>
      </c>
      <c r="J165" s="2" t="s">
        <v>1093</v>
      </c>
      <c r="K165" s="2" t="s">
        <v>1094</v>
      </c>
      <c r="L165" s="2" t="n">
        <v>1</v>
      </c>
      <c r="M165" s="2" t="s">
        <v>1095</v>
      </c>
      <c r="N165" s="2" t="n">
        <v>22</v>
      </c>
      <c r="O165" s="2" t="s">
        <v>1096</v>
      </c>
      <c r="P165" s="2" t="s">
        <v>30</v>
      </c>
      <c r="Q165" s="2" t="s">
        <v>1097</v>
      </c>
      <c r="R165" s="2" t="s">
        <v>261</v>
      </c>
    </row>
    <row r="166" customFormat="false" ht="15" hidden="false" customHeight="false" outlineLevel="0" collapsed="false">
      <c r="A166" s="2" t="s">
        <v>1098</v>
      </c>
      <c r="B166" s="2" t="s">
        <v>1099</v>
      </c>
      <c r="C166" s="2" t="s">
        <v>115</v>
      </c>
      <c r="D166" s="2" t="s">
        <v>107</v>
      </c>
      <c r="E166" s="2" t="s">
        <v>1100</v>
      </c>
      <c r="F166" s="2" t="s">
        <v>1101</v>
      </c>
      <c r="G166" s="2" t="s">
        <v>254</v>
      </c>
      <c r="H166" s="2" t="s">
        <v>1102</v>
      </c>
      <c r="I166" s="2" t="s">
        <v>1103</v>
      </c>
      <c r="J166" s="2" t="s">
        <v>1104</v>
      </c>
      <c r="K166" s="2" t="s">
        <v>28</v>
      </c>
      <c r="L166" s="2" t="n">
        <v>2</v>
      </c>
      <c r="M166" s="2" t="s">
        <v>187</v>
      </c>
      <c r="N166" s="2"/>
      <c r="O166" s="2" t="s">
        <v>1099</v>
      </c>
      <c r="P166" s="2" t="s">
        <v>102</v>
      </c>
      <c r="Q166" s="2" t="s">
        <v>1105</v>
      </c>
      <c r="R166" s="2" t="s">
        <v>32</v>
      </c>
    </row>
    <row r="167" customFormat="false" ht="15" hidden="false" customHeight="false" outlineLevel="0" collapsed="false">
      <c r="A167" s="2" t="s">
        <v>1106</v>
      </c>
      <c r="B167" s="2" t="s">
        <v>1107</v>
      </c>
      <c r="C167" s="2" t="s">
        <v>106</v>
      </c>
      <c r="D167" s="2" t="s">
        <v>107</v>
      </c>
      <c r="E167" s="2" t="s">
        <v>1108</v>
      </c>
      <c r="F167" s="2" t="s">
        <v>1109</v>
      </c>
      <c r="G167" s="2" t="s">
        <v>716</v>
      </c>
      <c r="H167" s="2" t="s">
        <v>1102</v>
      </c>
      <c r="I167" s="2" t="s">
        <v>1110</v>
      </c>
      <c r="J167" s="2" t="s">
        <v>1111</v>
      </c>
      <c r="K167" s="2" t="s">
        <v>28</v>
      </c>
      <c r="L167" s="2" t="n">
        <v>2</v>
      </c>
      <c r="M167" s="2" t="s">
        <v>187</v>
      </c>
      <c r="N167" s="2"/>
      <c r="O167" s="2" t="s">
        <v>1112</v>
      </c>
      <c r="P167" s="2" t="s">
        <v>102</v>
      </c>
      <c r="Q167" s="2" t="s">
        <v>1113</v>
      </c>
      <c r="R167" s="2" t="s">
        <v>32</v>
      </c>
    </row>
    <row r="168" customFormat="false" ht="15" hidden="false" customHeight="false" outlineLevel="0" collapsed="false">
      <c r="A168" s="2" t="s">
        <v>1114</v>
      </c>
      <c r="B168" s="2" t="s">
        <v>1115</v>
      </c>
      <c r="C168" s="2" t="s">
        <v>355</v>
      </c>
      <c r="D168" s="2" t="s">
        <v>107</v>
      </c>
      <c r="E168" s="2" t="s">
        <v>158</v>
      </c>
      <c r="F168" s="2" t="s">
        <v>1116</v>
      </c>
      <c r="G168" s="2" t="s">
        <v>55</v>
      </c>
      <c r="H168" s="2" t="s">
        <v>1102</v>
      </c>
      <c r="I168" s="2" t="s">
        <v>1117</v>
      </c>
      <c r="J168" s="2" t="s">
        <v>1118</v>
      </c>
      <c r="K168" s="2" t="s">
        <v>69</v>
      </c>
      <c r="L168" s="2" t="n">
        <v>4</v>
      </c>
      <c r="M168" s="2" t="s">
        <v>29</v>
      </c>
      <c r="N168" s="2"/>
      <c r="O168" s="2" t="s">
        <v>1119</v>
      </c>
      <c r="P168" s="2" t="s">
        <v>30</v>
      </c>
      <c r="Q168" s="2" t="s">
        <v>1120</v>
      </c>
      <c r="R168" s="2" t="s">
        <v>32</v>
      </c>
    </row>
    <row r="169" customFormat="false" ht="15" hidden="false" customHeight="false" outlineLevel="0" collapsed="false">
      <c r="A169" s="2" t="s">
        <v>1121</v>
      </c>
      <c r="B169" s="2" t="s">
        <v>1122</v>
      </c>
      <c r="C169" s="2" t="s">
        <v>35</v>
      </c>
      <c r="D169" s="2" t="s">
        <v>107</v>
      </c>
      <c r="E169" s="2" t="s">
        <v>1123</v>
      </c>
      <c r="F169" s="2" t="s">
        <v>1124</v>
      </c>
      <c r="G169" s="2" t="s">
        <v>254</v>
      </c>
      <c r="H169" s="2" t="s">
        <v>1102</v>
      </c>
      <c r="I169" s="2" t="s">
        <v>1125</v>
      </c>
      <c r="J169" s="2" t="s">
        <v>1126</v>
      </c>
      <c r="K169" s="2" t="s">
        <v>69</v>
      </c>
      <c r="L169" s="2" t="n">
        <v>4</v>
      </c>
      <c r="M169" s="2" t="s">
        <v>187</v>
      </c>
      <c r="N169" s="2"/>
      <c r="O169" s="2" t="s">
        <v>1127</v>
      </c>
      <c r="P169" s="2" t="s">
        <v>102</v>
      </c>
      <c r="Q169" s="2" t="s">
        <v>1128</v>
      </c>
      <c r="R169" s="2" t="s">
        <v>32</v>
      </c>
    </row>
    <row r="170" customFormat="false" ht="15" hidden="false" customHeight="false" outlineLevel="0" collapsed="false">
      <c r="A170" s="2" t="s">
        <v>1129</v>
      </c>
      <c r="B170" s="2" t="s">
        <v>1130</v>
      </c>
      <c r="C170" s="2" t="s">
        <v>1131</v>
      </c>
      <c r="D170" s="2" t="s">
        <v>107</v>
      </c>
      <c r="E170" s="2" t="s">
        <v>1132</v>
      </c>
      <c r="F170" s="2" t="s">
        <v>253</v>
      </c>
      <c r="G170" s="2" t="s">
        <v>716</v>
      </c>
      <c r="H170" s="2" t="s">
        <v>1102</v>
      </c>
      <c r="I170" s="2" t="s">
        <v>1133</v>
      </c>
      <c r="J170" s="2" t="s">
        <v>907</v>
      </c>
      <c r="K170" s="2" t="s">
        <v>58</v>
      </c>
      <c r="L170" s="2" t="n">
        <v>3</v>
      </c>
      <c r="M170" s="2" t="s">
        <v>29</v>
      </c>
      <c r="N170" s="2" t="n">
        <v>10</v>
      </c>
      <c r="O170" s="2" t="s">
        <v>1134</v>
      </c>
      <c r="P170" s="2" t="s">
        <v>30</v>
      </c>
      <c r="Q170" s="2" t="s">
        <v>1135</v>
      </c>
      <c r="R170" s="2" t="s">
        <v>32</v>
      </c>
    </row>
    <row r="171" customFormat="false" ht="15" hidden="false" customHeight="false" outlineLevel="0" collapsed="false">
      <c r="A171" s="2" t="s">
        <v>1136</v>
      </c>
      <c r="B171" s="2" t="s">
        <v>1137</v>
      </c>
      <c r="C171" s="2" t="s">
        <v>64</v>
      </c>
      <c r="D171" s="2" t="s">
        <v>107</v>
      </c>
      <c r="E171" s="2" t="s">
        <v>1138</v>
      </c>
      <c r="F171" s="2" t="s">
        <v>292</v>
      </c>
      <c r="G171" s="2" t="s">
        <v>716</v>
      </c>
      <c r="H171" s="2" t="s">
        <v>1102</v>
      </c>
      <c r="I171" s="2" t="s">
        <v>906</v>
      </c>
      <c r="J171" s="2" t="s">
        <v>907</v>
      </c>
      <c r="K171" s="2" t="s">
        <v>58</v>
      </c>
      <c r="L171" s="2" t="n">
        <v>3</v>
      </c>
      <c r="M171" s="2" t="s">
        <v>59</v>
      </c>
      <c r="N171" s="2" t="s">
        <v>1139</v>
      </c>
      <c r="O171" s="2" t="s">
        <v>1140</v>
      </c>
      <c r="P171" s="2" t="s">
        <v>30</v>
      </c>
      <c r="Q171" s="2" t="s">
        <v>1141</v>
      </c>
      <c r="R171" s="2" t="s">
        <v>32</v>
      </c>
    </row>
    <row r="172" customFormat="false" ht="15" hidden="false" customHeight="false" outlineLevel="0" collapsed="false">
      <c r="A172" s="2" t="s">
        <v>1142</v>
      </c>
      <c r="B172" s="2" t="s">
        <v>1143</v>
      </c>
      <c r="C172" s="2" t="s">
        <v>942</v>
      </c>
      <c r="D172" s="2" t="s">
        <v>107</v>
      </c>
      <c r="E172" s="2" t="s">
        <v>1144</v>
      </c>
      <c r="F172" s="2" t="s">
        <v>292</v>
      </c>
      <c r="G172" s="2" t="s">
        <v>716</v>
      </c>
      <c r="H172" s="2" t="s">
        <v>1102</v>
      </c>
      <c r="I172" s="2" t="s">
        <v>1145</v>
      </c>
      <c r="J172" s="2" t="s">
        <v>556</v>
      </c>
      <c r="K172" s="2" t="s">
        <v>58</v>
      </c>
      <c r="L172" s="2" t="n">
        <v>3</v>
      </c>
      <c r="M172" s="2" t="s">
        <v>59</v>
      </c>
      <c r="N172" s="2"/>
      <c r="O172" s="2" t="s">
        <v>562</v>
      </c>
      <c r="P172" s="2" t="s">
        <v>30</v>
      </c>
      <c r="Q172" s="2" t="s">
        <v>1146</v>
      </c>
      <c r="R172" s="2" t="s">
        <v>32</v>
      </c>
    </row>
    <row r="173" customFormat="false" ht="15" hidden="false" customHeight="false" outlineLevel="0" collapsed="false">
      <c r="A173" s="2" t="s">
        <v>1147</v>
      </c>
      <c r="B173" s="2" t="s">
        <v>1148</v>
      </c>
      <c r="C173" s="2" t="s">
        <v>942</v>
      </c>
      <c r="D173" s="2" t="s">
        <v>107</v>
      </c>
      <c r="E173" s="2" t="s">
        <v>1149</v>
      </c>
      <c r="F173" s="2" t="s">
        <v>292</v>
      </c>
      <c r="G173" s="2" t="s">
        <v>716</v>
      </c>
      <c r="H173" s="2" t="s">
        <v>1102</v>
      </c>
      <c r="I173" s="2" t="s">
        <v>944</v>
      </c>
      <c r="J173" s="2" t="s">
        <v>556</v>
      </c>
      <c r="K173" s="2" t="s">
        <v>58</v>
      </c>
      <c r="L173" s="2" t="n">
        <v>3</v>
      </c>
      <c r="M173" s="2" t="s">
        <v>29</v>
      </c>
      <c r="N173" s="2"/>
      <c r="O173" s="2" t="s">
        <v>562</v>
      </c>
      <c r="P173" s="2" t="s">
        <v>30</v>
      </c>
      <c r="Q173" s="2" t="s">
        <v>1150</v>
      </c>
      <c r="R173" s="2" t="s">
        <v>32</v>
      </c>
    </row>
    <row r="174" customFormat="false" ht="15" hidden="false" customHeight="false" outlineLevel="0" collapsed="false">
      <c r="A174" s="2" t="s">
        <v>1151</v>
      </c>
      <c r="B174" s="2" t="s">
        <v>1152</v>
      </c>
      <c r="C174" s="2" t="s">
        <v>52</v>
      </c>
      <c r="D174" s="2" t="s">
        <v>107</v>
      </c>
      <c r="E174" s="2" t="s">
        <v>1083</v>
      </c>
      <c r="F174" s="2" t="s">
        <v>292</v>
      </c>
      <c r="G174" s="2" t="s">
        <v>716</v>
      </c>
      <c r="H174" s="2" t="s">
        <v>1102</v>
      </c>
      <c r="I174" s="2" t="s">
        <v>1153</v>
      </c>
      <c r="J174" s="2" t="s">
        <v>914</v>
      </c>
      <c r="K174" s="2" t="s">
        <v>58</v>
      </c>
      <c r="L174" s="2" t="n">
        <v>3</v>
      </c>
      <c r="M174" s="2" t="s">
        <v>59</v>
      </c>
      <c r="N174" s="2"/>
      <c r="O174" s="2" t="s">
        <v>562</v>
      </c>
      <c r="P174" s="2" t="s">
        <v>30</v>
      </c>
      <c r="Q174" s="2" t="s">
        <v>1154</v>
      </c>
      <c r="R174" s="2" t="s">
        <v>32</v>
      </c>
    </row>
    <row r="175" customFormat="false" ht="15" hidden="false" customHeight="false" outlineLevel="0" collapsed="false">
      <c r="A175" s="2" t="s">
        <v>1155</v>
      </c>
      <c r="B175" s="2" t="s">
        <v>1156</v>
      </c>
      <c r="C175" s="2" t="s">
        <v>73</v>
      </c>
      <c r="D175" s="2" t="s">
        <v>107</v>
      </c>
      <c r="E175" s="2" t="s">
        <v>1157</v>
      </c>
      <c r="F175" s="2" t="s">
        <v>253</v>
      </c>
      <c r="G175" s="2" t="s">
        <v>716</v>
      </c>
      <c r="H175" s="2" t="s">
        <v>1102</v>
      </c>
      <c r="I175" s="2" t="s">
        <v>1158</v>
      </c>
      <c r="J175" s="2" t="s">
        <v>27</v>
      </c>
      <c r="K175" s="2" t="s">
        <v>69</v>
      </c>
      <c r="L175" s="2" t="n">
        <v>4</v>
      </c>
      <c r="M175" s="2" t="s">
        <v>29</v>
      </c>
      <c r="N175" s="2" t="n">
        <v>4</v>
      </c>
      <c r="O175" s="2" t="s">
        <v>619</v>
      </c>
      <c r="P175" s="2" t="s">
        <v>102</v>
      </c>
      <c r="Q175" s="2" t="s">
        <v>1159</v>
      </c>
      <c r="R175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1160</v>
      </c>
    </row>
    <row r="2" customFormat="false" ht="30" hidden="false" customHeight="true" outlineLevel="0" collapsed="false">
      <c r="A2" s="4" t="s">
        <v>1161</v>
      </c>
    </row>
    <row r="4" customFormat="false" ht="15" hidden="false" customHeight="false" outlineLevel="0" collapsed="false">
      <c r="A4" s="3" t="s">
        <v>1162</v>
      </c>
      <c r="B4" s="2" t="n">
        <f aca="false">COUNTA(Programs!A2:A175)</f>
        <v>174</v>
      </c>
    </row>
    <row r="6" customFormat="false" ht="15" hidden="false" customHeight="false" outlineLevel="0" collapsed="false">
      <c r="A6" s="3" t="s">
        <v>1163</v>
      </c>
    </row>
    <row r="7" customFormat="false" ht="15" hidden="false" customHeight="false" outlineLevel="0" collapsed="false">
      <c r="A7" s="2" t="s">
        <v>643</v>
      </c>
      <c r="B7" s="2" t="n">
        <f aca="false">COUNTIF(Programs!H2:H175,"Live")</f>
        <v>75</v>
      </c>
    </row>
    <row r="8" customFormat="false" ht="15" hidden="false" customHeight="false" outlineLevel="0" collapsed="false">
      <c r="A8" s="2" t="s">
        <v>284</v>
      </c>
      <c r="B8" s="2" t="n">
        <f aca="false">COUNTIF(Programs!H2:H175,"Lead")</f>
        <v>56</v>
      </c>
    </row>
    <row r="9" customFormat="false" ht="15" hidden="false" customHeight="false" outlineLevel="0" collapsed="false">
      <c r="A9" s="2" t="s">
        <v>25</v>
      </c>
      <c r="B9" s="2" t="n">
        <f aca="false">COUNTIF(Programs!H2:H175,"Complementary")</f>
        <v>29</v>
      </c>
    </row>
    <row r="10" customFormat="false" ht="15" hidden="false" customHeight="false" outlineLevel="0" collapsed="false">
      <c r="A10" s="2" t="s">
        <v>1102</v>
      </c>
      <c r="B10" s="2" t="n">
        <f aca="false">COUNTIF(Programs!H2:H175,"Stale")</f>
        <v>10</v>
      </c>
    </row>
    <row r="11" customFormat="false" ht="15" hidden="false" customHeight="false" outlineLevel="0" collapsed="false">
      <c r="A11" s="2" t="s">
        <v>255</v>
      </c>
      <c r="B11" s="2" t="n">
        <f aca="false">COUNTIF(Programs!H2:H175,"Historical")</f>
        <v>3</v>
      </c>
    </row>
    <row r="12" customFormat="false" ht="15" hidden="false" customHeight="false" outlineLevel="0" collapsed="false">
      <c r="A12" s="2" t="s">
        <v>1092</v>
      </c>
      <c r="B12" s="2" t="n">
        <f aca="false">COUNTIF(Programs!H2:H175,"Obtained")</f>
        <v>1</v>
      </c>
    </row>
    <row r="14" customFormat="false" ht="15" hidden="false" customHeight="false" outlineLevel="0" collapsed="false">
      <c r="A14" s="3" t="s">
        <v>1164</v>
      </c>
    </row>
    <row r="15" customFormat="false" ht="15" hidden="false" customHeight="false" outlineLevel="0" collapsed="false">
      <c r="A15" s="2" t="s">
        <v>716</v>
      </c>
      <c r="B15" s="2" t="n">
        <f aca="false">COUNTIF(Programs!G2:G175,"Tribal Primary")</f>
        <v>48</v>
      </c>
    </row>
    <row r="16" customFormat="false" ht="15" hidden="false" customHeight="false" outlineLevel="0" collapsed="false">
      <c r="A16" s="2" t="s">
        <v>254</v>
      </c>
      <c r="B16" s="2" t="n">
        <f aca="false">COUNTIF(Programs!G2:G175,"Tribal Secondary")</f>
        <v>21</v>
      </c>
    </row>
    <row r="17" customFormat="false" ht="15" hidden="false" customHeight="false" outlineLevel="0" collapsed="false">
      <c r="A17" s="2" t="s">
        <v>283</v>
      </c>
      <c r="B17" s="2" t="n">
        <f aca="false">COUNTIF(Programs!G2:G175,"Tribal Partnership")</f>
        <v>53</v>
      </c>
    </row>
    <row r="18" customFormat="false" ht="15" hidden="false" customHeight="false" outlineLevel="0" collapsed="false">
      <c r="A18" s="2" t="s">
        <v>55</v>
      </c>
      <c r="B18" s="2" t="n">
        <f aca="false">COUNTIF(Programs!G2:G175,"Cross-Reference")</f>
        <v>40</v>
      </c>
    </row>
    <row r="19" customFormat="false" ht="15" hidden="false" customHeight="false" outlineLevel="0" collapsed="false">
      <c r="A19" s="2" t="s">
        <v>308</v>
      </c>
      <c r="B19" s="2" t="n">
        <f aca="false">COUNTIF(Programs!G2:G175,"Discovery Only")</f>
        <v>6</v>
      </c>
    </row>
    <row r="20" customFormat="false" ht="15" hidden="false" customHeight="false" outlineLevel="0" collapsed="false">
      <c r="A20" s="2" t="s">
        <v>24</v>
      </c>
      <c r="B20" s="2" t="n">
        <f aca="false">COUNTIF(Programs!G2:G175,"Coverage Frame")</f>
        <v>6</v>
      </c>
    </row>
    <row r="22" customFormat="false" ht="15" hidden="false" customHeight="false" outlineLevel="0" collapsed="false">
      <c r="A22" s="3" t="s">
        <v>1165</v>
      </c>
    </row>
    <row r="23" customFormat="false" ht="15" hidden="false" customHeight="false" outlineLevel="0" collapsed="false">
      <c r="A23" s="2" t="s">
        <v>292</v>
      </c>
      <c r="B23" s="2" t="n">
        <f aca="false">COUNTIF(Programs!F2:F175,"TERO / certified procurement")</f>
        <v>68</v>
      </c>
    </row>
    <row r="24" customFormat="false" ht="15" hidden="false" customHeight="false" outlineLevel="0" collapsed="false">
      <c r="A24" s="2" t="s">
        <v>253</v>
      </c>
      <c r="B24" s="2" t="n">
        <f aca="false">COUNTIF(Programs!F2:F175,"Member-owned directory")</f>
        <v>22</v>
      </c>
    </row>
    <row r="25" customFormat="false" ht="15" hidden="false" customHeight="false" outlineLevel="0" collapsed="false">
      <c r="A25" s="2" t="s">
        <v>109</v>
      </c>
      <c r="B25" s="2" t="n">
        <f aca="false">COUNTIF(Programs!F2:F175,"Cross-tribal directory")</f>
        <v>8</v>
      </c>
    </row>
    <row r="26" customFormat="false" ht="15" hidden="false" customHeight="false" outlineLevel="0" collapsed="false">
      <c r="A26" s="2" t="s">
        <v>337</v>
      </c>
      <c r="B26" s="2" t="n">
        <f aca="false">COUNTIF(Programs!F2:F175,"Alaska Native corporation shareholder directory")</f>
        <v>7</v>
      </c>
    </row>
    <row r="27" customFormat="false" ht="15" hidden="false" customHeight="false" outlineLevel="0" collapsed="false">
      <c r="A27" s="2" t="s">
        <v>92</v>
      </c>
      <c r="B27" s="2" t="n">
        <f aca="false">COUNTIF(Programs!F2:F175,"Regional chamber directory")</f>
        <v>5</v>
      </c>
    </row>
    <row r="28" customFormat="false" ht="15" hidden="false" customHeight="false" outlineLevel="0" collapsed="false">
      <c r="A28" s="2" t="s">
        <v>219</v>
      </c>
      <c r="B28" s="2" t="n">
        <f aca="false">COUNTIF(Programs!F2:F175,"Artist directory")</f>
        <v>4</v>
      </c>
    </row>
    <row r="30" customFormat="false" ht="15" hidden="false" customHeight="false" outlineLevel="0" collapsed="false">
      <c r="A30" s="3" t="s">
        <v>1166</v>
      </c>
    </row>
    <row r="31" customFormat="false" ht="15" hidden="false" customHeight="false" outlineLevel="0" collapsed="false">
      <c r="A31" s="2" t="s">
        <v>1167</v>
      </c>
      <c r="B31" s="2" t="n">
        <f aca="false">COUNT(Programs!N2:N175)</f>
        <v>9</v>
      </c>
    </row>
    <row r="32" customFormat="false" ht="15" hidden="false" customHeight="false" outlineLevel="0" collapsed="false">
      <c r="A32" s="2" t="s">
        <v>1168</v>
      </c>
      <c r="B32" s="2" t="n">
        <f aca="false">SUM(Programs!N2:N175)</f>
        <v>181</v>
      </c>
    </row>
    <row r="34" customFormat="false" ht="35.05" hidden="false" customHeight="false" outlineLevel="0" collapsed="false">
      <c r="A34" s="4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2026-08-28T19:12:57Z</dcterms:created>
  <dc:creator>openpyxl</dc:creator>
  <dc:description/>
  <dc:language>en-US</dc:language>
  <cp:lastModifiedBy/>
  <dcterms:modified xsi:type="dcterms:W3CDTF">2026-08-28T19:12:57Z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